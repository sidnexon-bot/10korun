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kromé vozidlo" sheetId="1" r:id="rId4"/>
    <sheet state="visible" name="Nápověda" sheetId="2" r:id="rId5"/>
  </sheets>
  <definedNames/>
  <calcPr/>
  <extLst>
    <ext uri="GoogleSheetsCustomDataVersion2">
      <go:sheetsCustomData xmlns:go="http://customooxmlschemas.google.com/" r:id="rId6" roundtripDataChecksum="xxy37lh1VZ1LN12Nr5eDmJrjuZioua5ovDXNN5v+k3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6">
      <text>
        <t xml:space="preserve">======
ID#AAABr7gaHyA
Unknown    (2025-10-06 14:37:36)
průměr dle spotřeb z TP</t>
      </text>
    </comment>
  </commentList>
  <extLst>
    <ext uri="GoogleSheetsCustomDataVersion2">
      <go:sheetsCustomData xmlns:go="http://customooxmlschemas.google.com/" r:id="rId1" roundtripDataSignature="AMtx7mjz+YCF5sfRnJbesHBJl2tmTFMUwQ=="/>
    </ext>
  </extLst>
</comments>
</file>

<file path=xl/sharedStrings.xml><?xml version="1.0" encoding="utf-8"?>
<sst xmlns="http://schemas.openxmlformats.org/spreadsheetml/2006/main" count="32" uniqueCount="27">
  <si>
    <t>VYÚČTOVÁNÍ - Výpočet náhrad za použití soukromého vozidla</t>
  </si>
  <si>
    <t>Řidič:</t>
  </si>
  <si>
    <t>Místo konání akce:</t>
  </si>
  <si>
    <t>Účel cesty:</t>
  </si>
  <si>
    <t>Náhrada za ujeté kilometry</t>
  </si>
  <si>
    <t>Ujeté km</t>
  </si>
  <si>
    <t>Sazba</t>
  </si>
  <si>
    <t>Celkem Kč</t>
  </si>
  <si>
    <t>Náhrada za spotřebované pohonné hmoty</t>
  </si>
  <si>
    <t>Průměrná spotřeba dle TP</t>
  </si>
  <si>
    <t>Cena PHM</t>
  </si>
  <si>
    <t>Kč/l</t>
  </si>
  <si>
    <t>Celkem náhrada</t>
  </si>
  <si>
    <t>nafta</t>
  </si>
  <si>
    <t>elektřina</t>
  </si>
  <si>
    <t>druh paliva</t>
  </si>
  <si>
    <t>j</t>
  </si>
  <si>
    <t>sazba od 01/01/2026</t>
  </si>
  <si>
    <t xml:space="preserve">Benzin 95 </t>
  </si>
  <si>
    <t>l</t>
  </si>
  <si>
    <t xml:space="preserve">Benzin 98 </t>
  </si>
  <si>
    <t>39.00</t>
  </si>
  <si>
    <t>Nafta</t>
  </si>
  <si>
    <t>Elektrika</t>
  </si>
  <si>
    <t>KWh</t>
  </si>
  <si>
    <t>7.20</t>
  </si>
  <si>
    <t>475/2024 Sb. Vyhláška o změně sazby základní náhrady za používání silničních motorových vozidel a stravného a o s...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</si>
</sst>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_ ;[Red]\-#,##0.00\ "/>
  </numFmts>
  <fonts count="13">
    <font>
      <sz val="11.0"/>
      <color theme="1"/>
      <name val="Calibri"/>
      <scheme val="minor"/>
    </font>
    <font>
      <b/>
      <sz val="12.0"/>
      <color theme="1"/>
      <name val="Tahoma"/>
    </font>
    <font>
      <sz val="10.0"/>
      <color theme="1"/>
      <name val="Tahoma"/>
    </font>
    <font>
      <b/>
      <sz val="10.0"/>
      <color theme="1"/>
      <name val="Tahoma"/>
    </font>
    <font/>
    <font>
      <sz val="10.0"/>
      <color rgb="FFFF0000"/>
      <name val="Tahoma"/>
    </font>
    <font>
      <sz val="10.0"/>
      <color rgb="FFC0C0C0"/>
      <name val="Tahoma"/>
    </font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</fills>
  <borders count="1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0" fillId="0" fontId="3" numFmtId="0" xfId="0" applyFont="1"/>
    <xf borderId="2" fillId="2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2" fontId="3" numFmtId="0" xfId="0" applyBorder="1" applyFont="1"/>
    <xf borderId="1" fillId="2" fontId="2" numFmtId="0" xfId="0" applyBorder="1" applyFont="1"/>
    <xf borderId="5" fillId="2" fontId="2" numFmtId="0" xfId="0" applyAlignment="1" applyBorder="1" applyFont="1">
      <alignment readingOrder="0"/>
    </xf>
    <xf borderId="6" fillId="2" fontId="2" numFmtId="0" xfId="0" applyBorder="1" applyFont="1"/>
    <xf borderId="7" fillId="0" fontId="2" numFmtId="0" xfId="0" applyAlignment="1" applyBorder="1" applyFont="1">
      <alignment horizontal="left" readingOrder="0"/>
    </xf>
    <xf borderId="8" fillId="0" fontId="4" numFmtId="0" xfId="0" applyBorder="1" applyFont="1"/>
    <xf borderId="9" fillId="0" fontId="4" numFmtId="0" xfId="0" applyBorder="1" applyFont="1"/>
    <xf borderId="10" fillId="2" fontId="2" numFmtId="0" xfId="0" applyAlignment="1" applyBorder="1" applyFont="1">
      <alignment readingOrder="0"/>
    </xf>
    <xf borderId="11" fillId="2" fontId="2" numFmtId="0" xfId="0" applyBorder="1" applyFont="1"/>
    <xf borderId="5" fillId="2" fontId="2" numFmtId="0" xfId="0" applyBorder="1" applyFont="1"/>
    <xf borderId="12" fillId="2" fontId="2" numFmtId="0" xfId="0" applyBorder="1" applyFont="1"/>
    <xf borderId="0" fillId="2" fontId="3" numFmtId="0" xfId="0" applyFont="1"/>
    <xf borderId="0" fillId="2" fontId="2" numFmtId="0" xfId="0" applyFont="1"/>
    <xf borderId="13" fillId="2" fontId="2" numFmtId="0" xfId="0" applyBorder="1" applyFont="1"/>
    <xf borderId="13" fillId="2" fontId="1" numFmtId="0" xfId="0" applyBorder="1" applyFont="1"/>
    <xf borderId="14" fillId="2" fontId="2" numFmtId="0" xfId="0" applyAlignment="1" applyBorder="1" applyFont="1">
      <alignment horizontal="right"/>
    </xf>
    <xf borderId="14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14" fillId="0" fontId="2" numFmtId="164" xfId="0" applyAlignment="1" applyBorder="1" applyFont="1" applyNumberFormat="1">
      <alignment readingOrder="0"/>
    </xf>
    <xf borderId="14" fillId="2" fontId="2" numFmtId="164" xfId="0" applyAlignment="1" applyBorder="1" applyFont="1" applyNumberFormat="1">
      <alignment readingOrder="0"/>
    </xf>
    <xf borderId="14" fillId="2" fontId="2" numFmtId="164" xfId="0" applyBorder="1" applyFont="1" applyNumberFormat="1"/>
    <xf borderId="1" fillId="2" fontId="2" numFmtId="164" xfId="0" applyBorder="1" applyFont="1" applyNumberFormat="1"/>
    <xf borderId="1" fillId="2" fontId="5" numFmtId="0" xfId="0" applyBorder="1" applyFont="1"/>
    <xf borderId="14" fillId="2" fontId="2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center" shrinkToFit="0" vertical="center" wrapText="1"/>
    </xf>
    <xf borderId="14" fillId="0" fontId="2" numFmtId="4" xfId="0" applyAlignment="1" applyBorder="1" applyFont="1" applyNumberFormat="1">
      <alignment horizontal="center" readingOrder="0" vertical="center"/>
    </xf>
    <xf borderId="14" fillId="0" fontId="2" numFmtId="0" xfId="0" applyAlignment="1" applyBorder="1" applyFont="1">
      <alignment horizontal="center" shrinkToFit="0" vertical="center" wrapText="1"/>
    </xf>
    <xf borderId="14" fillId="2" fontId="2" numFmtId="2" xfId="0" applyAlignment="1" applyBorder="1" applyFont="1" applyNumberFormat="1">
      <alignment horizontal="center" shrinkToFit="0" vertical="center" wrapText="1"/>
    </xf>
    <xf borderId="14" fillId="2" fontId="2" numFmtId="4" xfId="0" applyAlignment="1" applyBorder="1" applyFont="1" applyNumberFormat="1">
      <alignment horizontal="center" shrinkToFit="0" vertical="center" wrapText="1"/>
    </xf>
    <xf borderId="1" fillId="2" fontId="3" numFmtId="164" xfId="0" applyBorder="1" applyFont="1" applyNumberFormat="1"/>
    <xf borderId="5" fillId="2" fontId="3" numFmtId="0" xfId="0" applyBorder="1" applyFont="1"/>
    <xf borderId="15" fillId="2" fontId="3" numFmtId="0" xfId="0" applyBorder="1" applyFont="1"/>
    <xf borderId="14" fillId="2" fontId="3" numFmtId="164" xfId="0" applyBorder="1" applyFont="1" applyNumberFormat="1"/>
    <xf borderId="0" fillId="0" fontId="6" numFmtId="0" xfId="0" applyFont="1"/>
    <xf borderId="0" fillId="0" fontId="6" numFmtId="2" xfId="0" applyFont="1" applyNumberFormat="1"/>
    <xf borderId="0" fillId="0" fontId="6" numFmtId="0" xfId="0" applyAlignment="1" applyFont="1">
      <alignment horizontal="right"/>
    </xf>
    <xf borderId="14" fillId="0" fontId="7" numFmtId="0" xfId="0" applyBorder="1" applyFont="1"/>
    <xf borderId="14" fillId="3" fontId="8" numFmtId="0" xfId="0" applyAlignment="1" applyBorder="1" applyFill="1" applyFont="1">
      <alignment readingOrder="0" shrinkToFit="0" vertical="bottom" wrapText="0"/>
    </xf>
    <xf borderId="0" fillId="0" fontId="0" numFmtId="0" xfId="0" applyFont="1"/>
    <xf borderId="14" fillId="0" fontId="9" numFmtId="0" xfId="0" applyBorder="1" applyFont="1"/>
    <xf borderId="14" fillId="0" fontId="10" numFmtId="2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horizontal="left"/>
    </xf>
    <xf borderId="14" fillId="3" fontId="10" numFmtId="2" xfId="0" applyAlignment="1" applyBorder="1" applyFont="1" applyNumberFormat="1">
      <alignment horizontal="right" readingOrder="0" shrinkToFit="0" vertical="bottom" wrapText="0"/>
    </xf>
    <xf borderId="14" fillId="0" fontId="11" numFmtId="2" xfId="0" applyAlignment="1" applyBorder="1" applyFont="1" applyNumberFormat="1">
      <alignment horizontal="right" readingOrder="0" shrinkToFit="0" vertical="bottom" wrapText="0"/>
    </xf>
    <xf borderId="0" fillId="0" fontId="1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akonyprolidi.cz/cs/2024-475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43"/>
    <col customWidth="1" min="2" max="2" width="13.0"/>
    <col customWidth="1" min="3" max="3" width="10.14"/>
    <col customWidth="1" min="4" max="4" width="15.43"/>
    <col customWidth="1" min="5" max="5" width="9.14"/>
    <col customWidth="1" min="6" max="6" width="16.43"/>
    <col customWidth="1" min="7" max="7" width="9.14"/>
    <col customWidth="1" min="8" max="8" width="14.43"/>
    <col customWidth="1" min="9" max="9" width="9.14"/>
    <col customWidth="1" hidden="1" min="10" max="26" width="9.14"/>
  </cols>
  <sheetData>
    <row r="1" ht="12.75" customHeight="1">
      <c r="A1" s="1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/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6" t="s">
        <v>0</v>
      </c>
      <c r="B3" s="7"/>
      <c r="C3" s="7"/>
      <c r="D3" s="7"/>
      <c r="E3" s="7"/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9"/>
      <c r="B4" s="9"/>
      <c r="C4" s="9"/>
      <c r="D4" s="4"/>
      <c r="E4" s="4"/>
      <c r="F4" s="4"/>
      <c r="G4" s="10"/>
      <c r="H4" s="10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11" t="s">
        <v>1</v>
      </c>
      <c r="B5" s="12"/>
      <c r="C5" s="13"/>
      <c r="D5" s="14"/>
      <c r="E5" s="14"/>
      <c r="F5" s="14"/>
      <c r="G5" s="14"/>
      <c r="H5" s="1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16" t="s">
        <v>2</v>
      </c>
      <c r="B6" s="17"/>
      <c r="C6" s="13"/>
      <c r="D6" s="14"/>
      <c r="E6" s="14"/>
      <c r="F6" s="14"/>
      <c r="G6" s="14"/>
      <c r="H6" s="1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18" t="s">
        <v>3</v>
      </c>
      <c r="B7" s="12"/>
      <c r="C7" s="13"/>
      <c r="D7" s="14"/>
      <c r="E7" s="14"/>
      <c r="F7" s="14"/>
      <c r="G7" s="14"/>
      <c r="H7" s="1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19"/>
      <c r="B8" s="19"/>
      <c r="C8" s="19"/>
      <c r="D8" s="19"/>
      <c r="E8" s="19"/>
      <c r="F8" s="19"/>
      <c r="G8" s="19"/>
      <c r="H8" s="1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20" t="s">
        <v>4</v>
      </c>
      <c r="B9" s="20"/>
      <c r="C9" s="21"/>
      <c r="D9" s="21"/>
      <c r="E9" s="21"/>
      <c r="F9" s="21"/>
      <c r="G9" s="21"/>
      <c r="H9" s="2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.0" customHeight="1">
      <c r="A10" s="22"/>
      <c r="B10" s="23"/>
      <c r="C10" s="22"/>
      <c r="D10" s="22"/>
      <c r="E10" s="22"/>
      <c r="F10" s="22"/>
      <c r="G10" s="22"/>
      <c r="H10" s="2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24" t="s">
        <v>5</v>
      </c>
      <c r="B11" s="24" t="s">
        <v>6</v>
      </c>
      <c r="C11" s="25" t="s">
        <v>7</v>
      </c>
      <c r="D11" s="26"/>
      <c r="E11" s="10"/>
      <c r="F11" s="10"/>
      <c r="G11" s="10"/>
      <c r="H11" s="1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27"/>
      <c r="B12" s="28">
        <v>5.9</v>
      </c>
      <c r="C12" s="29">
        <f>A12*B12</f>
        <v>0</v>
      </c>
      <c r="D12" s="30"/>
      <c r="E12" s="10"/>
      <c r="F12" s="31"/>
      <c r="G12" s="10"/>
      <c r="H12" s="1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9"/>
      <c r="B13" s="19"/>
      <c r="C13" s="19"/>
      <c r="D13" s="19"/>
      <c r="E13" s="19"/>
      <c r="F13" s="19"/>
      <c r="G13" s="19"/>
      <c r="H13" s="1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20" t="s">
        <v>8</v>
      </c>
      <c r="B14" s="20"/>
      <c r="C14" s="21"/>
      <c r="D14" s="21"/>
      <c r="E14" s="21"/>
      <c r="F14" s="21"/>
      <c r="G14" s="21"/>
      <c r="H14" s="2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22"/>
      <c r="B15" s="22"/>
      <c r="C15" s="22"/>
      <c r="D15" s="22"/>
      <c r="E15" s="22"/>
      <c r="F15" s="22"/>
      <c r="G15" s="22"/>
      <c r="H15" s="2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2" t="s">
        <v>9</v>
      </c>
      <c r="B16" s="33" t="s">
        <v>10</v>
      </c>
      <c r="C16" s="33" t="s">
        <v>11</v>
      </c>
      <c r="D16" s="32" t="s">
        <v>7</v>
      </c>
      <c r="E16" s="10"/>
      <c r="F16" s="10"/>
      <c r="G16" s="10"/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4"/>
      <c r="B17" s="35">
        <v>95.0</v>
      </c>
      <c r="C17" s="36">
        <f>VLOOKUP(B17,$A$24:$B$27,2,0)</f>
        <v>34.7</v>
      </c>
      <c r="D17" s="37">
        <f>A12/100*A17*C17</f>
        <v>0</v>
      </c>
      <c r="E17" s="10"/>
      <c r="F17" s="10"/>
      <c r="G17" s="10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0"/>
      <c r="B18" s="30"/>
      <c r="C18" s="38"/>
      <c r="D18" s="30"/>
      <c r="E18" s="10"/>
      <c r="F18" s="10"/>
      <c r="G18" s="10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9" t="s">
        <v>12</v>
      </c>
      <c r="B19" s="40"/>
      <c r="C19" s="12"/>
      <c r="D19" s="41">
        <f>C12+D17</f>
        <v>0</v>
      </c>
      <c r="E19" s="10"/>
      <c r="F19" s="10"/>
      <c r="G19" s="10"/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0"/>
      <c r="B21" s="10"/>
      <c r="C21" s="10"/>
      <c r="D21" s="26"/>
      <c r="E21" s="26"/>
      <c r="F21" s="26"/>
      <c r="G21" s="26"/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0"/>
      <c r="B22" s="10"/>
      <c r="C22" s="10"/>
      <c r="D22" s="10"/>
      <c r="E22" s="10"/>
      <c r="F22" s="10"/>
      <c r="G22" s="26"/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0"/>
      <c r="B23" s="10"/>
      <c r="C23" s="10"/>
      <c r="D23" s="10"/>
      <c r="E23" s="10"/>
      <c r="F23" s="10"/>
      <c r="G23" s="26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hidden="1" customHeight="1">
      <c r="A24" s="42">
        <v>95.0</v>
      </c>
      <c r="B24" s="43">
        <f t="array" ref="B24">XLOOKUP(A24,'Nápověda'!D:D,'Nápověda'!C:C,0,0)</f>
        <v>34.7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hidden="1" customHeight="1">
      <c r="A25" s="42">
        <v>98.0</v>
      </c>
      <c r="B25" s="43" t="str">
        <f t="array" ref="B25">XLOOKUP(A25,'Nápověda'!D:D,'Nápověda'!C:C,0,0)</f>
        <v>39.00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hidden="1" customHeight="1">
      <c r="A26" s="44" t="s">
        <v>13</v>
      </c>
      <c r="B26" s="43">
        <f t="array" ref="B26">XLOOKUP(A26,'Nápověda'!D:D,'Nápověda'!C:C,0,0)</f>
        <v>44.5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hidden="1" customHeight="1">
      <c r="A27" s="44" t="s">
        <v>14</v>
      </c>
      <c r="B27" s="43" t="str">
        <f t="array" ref="B27">XLOOKUP(A27,'Nápověda'!D:D,'Nápověda'!C:C,0,0)</f>
        <v>7.20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41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mergeCells count="5">
    <mergeCell ref="A1:H1"/>
    <mergeCell ref="A3:H3"/>
    <mergeCell ref="C5:H5"/>
    <mergeCell ref="C6:H6"/>
    <mergeCell ref="C7:H7"/>
  </mergeCells>
  <dataValidations>
    <dataValidation type="list" allowBlank="1" showInputMessage="1" showErrorMessage="1" prompt="změn druh paliva" sqref="B17">
      <formula1>$A$23:$A$27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.71"/>
    <col customWidth="1" min="3" max="3" width="21.14"/>
    <col customWidth="1" min="4" max="4" width="8.43"/>
    <col customWidth="1" min="5" max="26" width="8.86"/>
  </cols>
  <sheetData>
    <row r="1">
      <c r="A1" s="45" t="s">
        <v>15</v>
      </c>
      <c r="B1" s="45" t="s">
        <v>16</v>
      </c>
      <c r="C1" s="46" t="s">
        <v>17</v>
      </c>
      <c r="D1" s="47"/>
    </row>
    <row r="2">
      <c r="A2" s="48" t="s">
        <v>18</v>
      </c>
      <c r="B2" s="48" t="s">
        <v>19</v>
      </c>
      <c r="C2" s="49">
        <v>34.7</v>
      </c>
      <c r="D2" s="50">
        <v>95.0</v>
      </c>
    </row>
    <row r="3">
      <c r="A3" s="48" t="s">
        <v>20</v>
      </c>
      <c r="B3" s="48" t="s">
        <v>19</v>
      </c>
      <c r="C3" s="49" t="s">
        <v>21</v>
      </c>
      <c r="D3" s="50">
        <v>98.0</v>
      </c>
    </row>
    <row r="4">
      <c r="A4" s="48" t="s">
        <v>22</v>
      </c>
      <c r="B4" s="48" t="s">
        <v>19</v>
      </c>
      <c r="C4" s="51">
        <v>44.5</v>
      </c>
      <c r="D4" s="50" t="s">
        <v>13</v>
      </c>
    </row>
    <row r="5">
      <c r="A5" s="48" t="s">
        <v>23</v>
      </c>
      <c r="B5" s="48" t="s">
        <v>24</v>
      </c>
      <c r="C5" s="52" t="s">
        <v>25</v>
      </c>
      <c r="D5" s="50" t="s">
        <v>14</v>
      </c>
    </row>
    <row r="8">
      <c r="A8" s="53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8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1899-12-31T23:00:00Z</dcterms:created>
</cp:coreProperties>
</file>