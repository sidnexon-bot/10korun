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cc4aaeb2f5108c39/Downloads/"/>
    </mc:Choice>
  </mc:AlternateContent>
  <xr:revisionPtr revIDLastSave="0" documentId="8_{5819AD14-1757-44A4-9637-2D07952C39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něžní deník 2025" sheetId="1" r:id="rId1"/>
    <sheet name="Přehled o P a V 2025" sheetId="2" r:id="rId2"/>
    <sheet name="Přehled o M a Z 2025" sheetId="3" r:id="rId3"/>
    <sheet name="Manuál" sheetId="4" r:id="rId4"/>
  </sheets>
  <definedNames>
    <definedName name="_xlnm._FilterDatabase" localSheetId="0" hidden="1">'Peněžní deník 2025'!$A$8:$AI$69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6ZmDA20B/qJPeHOg20DnE68JoYV7gwtNuEiGXR3yboo="/>
    </ext>
  </extLst>
</workbook>
</file>

<file path=xl/calcChain.xml><?xml version="1.0" encoding="utf-8"?>
<calcChain xmlns="http://schemas.openxmlformats.org/spreadsheetml/2006/main">
  <c r="E27" i="3" l="1"/>
  <c r="C27" i="3"/>
  <c r="E24" i="3"/>
  <c r="E28" i="3" s="1"/>
  <c r="C18" i="3"/>
  <c r="E38" i="2"/>
  <c r="E39" i="2" s="1"/>
  <c r="D25" i="2"/>
  <c r="F25" i="2" s="1"/>
  <c r="M85" i="1"/>
  <c r="M84" i="1"/>
  <c r="G74" i="1"/>
  <c r="G75" i="1" s="1"/>
  <c r="G73" i="1"/>
  <c r="AH68" i="1"/>
  <c r="D37" i="2" s="1"/>
  <c r="F37" i="2" s="1"/>
  <c r="AE68" i="1"/>
  <c r="D34" i="2" s="1"/>
  <c r="F34" i="2" s="1"/>
  <c r="AD68" i="1"/>
  <c r="D33" i="2" s="1"/>
  <c r="F33" i="2" s="1"/>
  <c r="AC68" i="1"/>
  <c r="D32" i="2" s="1"/>
  <c r="F32" i="2" s="1"/>
  <c r="AA68" i="1"/>
  <c r="D30" i="2" s="1"/>
  <c r="F30" i="2" s="1"/>
  <c r="Y68" i="1"/>
  <c r="D28" i="2" s="1"/>
  <c r="W68" i="1"/>
  <c r="T68" i="1"/>
  <c r="D22" i="2" s="1"/>
  <c r="F22" i="2" s="1"/>
  <c r="Q68" i="1"/>
  <c r="D19" i="2" s="1"/>
  <c r="F19" i="2" s="1"/>
  <c r="O68" i="1"/>
  <c r="D17" i="2" s="1"/>
  <c r="N68" i="1"/>
  <c r="M68" i="1"/>
  <c r="L68" i="1"/>
  <c r="K68" i="1"/>
  <c r="K69" i="1" s="1"/>
  <c r="J68" i="1"/>
  <c r="I68" i="1"/>
  <c r="I69" i="1" s="1"/>
  <c r="H68" i="1"/>
  <c r="G68" i="1"/>
  <c r="G69" i="1" s="1"/>
  <c r="AF68" i="1"/>
  <c r="D35" i="2" s="1"/>
  <c r="F35" i="2" s="1"/>
  <c r="AG38" i="1"/>
  <c r="AG35" i="1"/>
  <c r="R68" i="1"/>
  <c r="D20" i="2" s="1"/>
  <c r="F20" i="2" s="1"/>
  <c r="AG20" i="1"/>
  <c r="AG4" i="1" s="1"/>
  <c r="S68" i="1"/>
  <c r="D21" i="2" s="1"/>
  <c r="F21" i="2" s="1"/>
  <c r="P68" i="1"/>
  <c r="D18" i="2" s="1"/>
  <c r="F18" i="2" s="1"/>
  <c r="AH4" i="1"/>
  <c r="AF4" i="1"/>
  <c r="AE4" i="1"/>
  <c r="AD4" i="1"/>
  <c r="AC4" i="1"/>
  <c r="AA4" i="1"/>
  <c r="Y4" i="1"/>
  <c r="W4" i="1"/>
  <c r="V4" i="1"/>
  <c r="T4" i="1"/>
  <c r="S4" i="1"/>
  <c r="R4" i="1"/>
  <c r="Q4" i="1"/>
  <c r="P4" i="1"/>
  <c r="O4" i="1"/>
  <c r="N4" i="1"/>
  <c r="M4" i="1"/>
  <c r="M69" i="1" l="1"/>
  <c r="M88" i="1" s="1"/>
  <c r="C19" i="3" s="1"/>
  <c r="C24" i="3" s="1"/>
  <c r="C28" i="3" s="1"/>
  <c r="M80" i="1"/>
  <c r="V68" i="1"/>
  <c r="D24" i="2" s="1"/>
  <c r="F24" i="2" s="1"/>
  <c r="AI20" i="1"/>
  <c r="AI68" i="1" s="1"/>
  <c r="AG68" i="1"/>
  <c r="D36" i="2" s="1"/>
  <c r="F36" i="2" s="1"/>
  <c r="G76" i="1"/>
  <c r="G77" i="1"/>
  <c r="G78" i="1" s="1"/>
  <c r="G79" i="1" s="1"/>
  <c r="F28" i="2"/>
  <c r="F17" i="2"/>
  <c r="U4" i="1"/>
  <c r="U68" i="1"/>
  <c r="D23" i="2" s="1"/>
  <c r="Z4" i="1"/>
  <c r="Z68" i="1"/>
  <c r="D29" i="2" s="1"/>
  <c r="AB68" i="1"/>
  <c r="D31" i="2" s="1"/>
  <c r="F31" i="2" s="1"/>
  <c r="AB4" i="1"/>
  <c r="X68" i="1"/>
  <c r="X4" i="1"/>
  <c r="F23" i="2" l="1"/>
  <c r="D26" i="2"/>
  <c r="F29" i="2"/>
  <c r="D38" i="2"/>
  <c r="F38" i="2" s="1"/>
  <c r="D39" i="2" l="1"/>
  <c r="F39" i="2" s="1"/>
  <c r="F26" i="2"/>
</calcChain>
</file>

<file path=xl/sharedStrings.xml><?xml version="1.0" encoding="utf-8"?>
<sst xmlns="http://schemas.openxmlformats.org/spreadsheetml/2006/main" count="260" uniqueCount="189">
  <si>
    <t>PŘEHLED O PŘÍJMECH A VÝDAJÍCH</t>
  </si>
  <si>
    <t>POLOŽKA</t>
  </si>
  <si>
    <t>PŘEHLED O MAJETKU A ZÁVAZCÍCH</t>
  </si>
  <si>
    <t>Jméno a příjmení / Název firmy:</t>
  </si>
  <si>
    <t>KATEGORIE</t>
  </si>
  <si>
    <t>Zapsán do VR dne:</t>
  </si>
  <si>
    <t>Stereo</t>
  </si>
  <si>
    <t>Vokální skupina 10men, z. s.</t>
  </si>
  <si>
    <t>Právní forma:</t>
  </si>
  <si>
    <t>Spolek</t>
  </si>
  <si>
    <t>V likvidaci:</t>
  </si>
  <si>
    <r>
      <rPr>
        <strike/>
        <sz val="11"/>
        <color theme="1"/>
        <rFont val="Arial"/>
      </rPr>
      <t xml:space="preserve">ANO </t>
    </r>
    <r>
      <rPr>
        <sz val="11"/>
        <color theme="1"/>
        <rFont val="Arial"/>
      </rPr>
      <t>/ NE</t>
    </r>
  </si>
  <si>
    <t>Příjmy</t>
  </si>
  <si>
    <t>Adresa:</t>
  </si>
  <si>
    <t>Smetanovo nábřeží 330/16, 
Staré Město, 110 00 Praha 1</t>
  </si>
  <si>
    <t>Předmět podnikání:</t>
  </si>
  <si>
    <t>Provozování pěvecké činnosti, pořádání hudebních produkcí a představení.</t>
  </si>
  <si>
    <t xml:space="preserve">IČ: </t>
  </si>
  <si>
    <r>
      <rPr>
        <strike/>
        <sz val="10"/>
        <color theme="1"/>
        <rFont val="Arial"/>
      </rPr>
      <t xml:space="preserve">ANO </t>
    </r>
    <r>
      <rPr>
        <sz val="10"/>
        <color theme="1"/>
        <rFont val="Arial"/>
      </rPr>
      <t>/ NE</t>
    </r>
  </si>
  <si>
    <t>Okamžik sestavení účetní závěrky:</t>
  </si>
  <si>
    <r>
      <rPr>
        <b/>
        <sz val="10"/>
        <color rgb="FF000000"/>
        <rFont val="Arial"/>
      </rPr>
      <t>Výtěžky z koncertů</t>
    </r>
    <r>
      <rPr>
        <sz val="10"/>
        <color rgb="FF000000"/>
        <rFont val="Arial"/>
      </rPr>
      <t xml:space="preserve"> - výběr vstupného, honoráře za koncerty, obsah klobouku z buskingu</t>
    </r>
  </si>
  <si>
    <t>Období:</t>
  </si>
  <si>
    <t>Provozování pěvecké činnosti, pořádání hudebních produkcí 
a představení.</t>
  </si>
  <si>
    <t>Prodej výrobků a služeb</t>
  </si>
  <si>
    <t>Sestaveno dne:</t>
  </si>
  <si>
    <t>(V celých tisících)</t>
  </si>
  <si>
    <t>PVS</t>
  </si>
  <si>
    <r>
      <rPr>
        <b/>
        <sz val="10"/>
        <color rgb="FF000000"/>
        <rFont val="Arial"/>
      </rPr>
      <t>Merch</t>
    </r>
    <r>
      <rPr>
        <sz val="10"/>
        <color rgb="FF000000"/>
        <rFont val="Arial"/>
      </rPr>
      <t xml:space="preserve"> - prodej CD a drobných dárkových předmětů</t>
    </r>
  </si>
  <si>
    <t>Číslo řádku</t>
  </si>
  <si>
    <t>Činnost</t>
  </si>
  <si>
    <r>
      <rPr>
        <b/>
        <sz val="10"/>
        <color rgb="FF000000"/>
        <rFont val="Arial"/>
      </rPr>
      <t>Členské příspěvky</t>
    </r>
    <r>
      <rPr>
        <sz val="10"/>
        <color rgb="FF000000"/>
        <rFont val="Arial"/>
      </rPr>
      <t xml:space="preserve"> - převedení členských příspěvků na spolkový účet</t>
    </r>
  </si>
  <si>
    <t>Přijaté členské příspěvky</t>
  </si>
  <si>
    <t>Běžné účetní období</t>
  </si>
  <si>
    <t>Hlavní</t>
  </si>
  <si>
    <t>PCP</t>
  </si>
  <si>
    <t>Hospodářská</t>
  </si>
  <si>
    <t>Minulé účetní období</t>
  </si>
  <si>
    <r>
      <rPr>
        <b/>
        <sz val="10"/>
        <color rgb="FF000000"/>
        <rFont val="Arial"/>
      </rPr>
      <t>Bezúročné půjčky od členů</t>
    </r>
    <r>
      <rPr>
        <sz val="10"/>
        <color rgb="FF000000"/>
        <rFont val="Arial"/>
      </rPr>
      <t xml:space="preserve"> - když nejsou peníze, můžeme spolku půjčit ze svého (na smlouvu)</t>
    </r>
  </si>
  <si>
    <t>Ostatní</t>
  </si>
  <si>
    <t>PP</t>
  </si>
  <si>
    <t>Celkem</t>
  </si>
  <si>
    <t>A.</t>
  </si>
  <si>
    <r>
      <rPr>
        <b/>
        <sz val="10"/>
        <color rgb="FF000000"/>
        <rFont val="Arial"/>
      </rPr>
      <t>Dary</t>
    </r>
    <r>
      <rPr>
        <sz val="10"/>
        <color rgb="FF000000"/>
        <rFont val="Arial"/>
      </rPr>
      <t xml:space="preserve"> - osoba nebo firma pošle peníze spolku jako dar</t>
    </r>
  </si>
  <si>
    <t>Přijaté peněžní dary mimo veřejné sbírky</t>
  </si>
  <si>
    <t>Dlouhodobý nehmotný majetek</t>
  </si>
  <si>
    <t>PMV</t>
  </si>
  <si>
    <t>Prodej zboží</t>
  </si>
  <si>
    <t>Č.
ř.</t>
  </si>
  <si>
    <t>Výdaje</t>
  </si>
  <si>
    <t>Dlouhodobý hmotný majetek</t>
  </si>
  <si>
    <t>Datum</t>
  </si>
  <si>
    <r>
      <rPr>
        <b/>
        <sz val="10"/>
        <color rgb="FF000000"/>
        <rFont val="Arial"/>
      </rPr>
      <t>Občerstvení na schůzi či zkoušku</t>
    </r>
    <r>
      <rPr>
        <sz val="10"/>
        <color rgb="FF000000"/>
        <rFont val="Arial"/>
      </rPr>
      <t xml:space="preserve"> - Nespresso kapsle, sušenky, Vincentnky - obecně jídlo a pití ze supermarketu</t>
    </r>
  </si>
  <si>
    <t>Doklad</t>
  </si>
  <si>
    <t>Materiál</t>
  </si>
  <si>
    <t>Finanční majetek</t>
  </si>
  <si>
    <t>MT</t>
  </si>
  <si>
    <r>
      <rPr>
        <b/>
        <sz val="10"/>
        <color rgb="FF000000"/>
        <rFont val="Arial"/>
      </rPr>
      <t>Drobné věci</t>
    </r>
    <r>
      <rPr>
        <sz val="10"/>
        <color rgb="FF000000"/>
        <rFont val="Arial"/>
      </rPr>
      <t xml:space="preserve"> - koncertní trička, oblečení, doplňky, kravaty, kancelářské potřeby, baterky, kabely a příslušenství ke klávesám, stativům…</t>
    </r>
  </si>
  <si>
    <t>Účet</t>
  </si>
  <si>
    <t>Projekt</t>
  </si>
  <si>
    <r>
      <rPr>
        <b/>
        <sz val="10"/>
        <color rgb="FF000000"/>
        <rFont val="Arial"/>
      </rPr>
      <t>Organizování koncertu</t>
    </r>
    <r>
      <rPr>
        <sz val="10"/>
        <color rgb="FF000000"/>
        <rFont val="Arial"/>
      </rPr>
      <t xml:space="preserve"> - pronájem sálu a další služby, odměny fotografům a nasmlouvanému personálu, catering &amp; welcome drinky, květiny na děkovačku</t>
    </r>
  </si>
  <si>
    <t>Služby</t>
  </si>
  <si>
    <t>SL</t>
  </si>
  <si>
    <t>Peněžní prostředky v hotovosti a ceniny</t>
  </si>
  <si>
    <t>TEXT</t>
  </si>
  <si>
    <r>
      <rPr>
        <b/>
        <sz val="10"/>
        <color rgb="FF000000"/>
        <rFont val="Arial"/>
      </rPr>
      <t>Soutěž / soustředění</t>
    </r>
    <r>
      <rPr>
        <sz val="10"/>
        <color rgb="FF000000"/>
        <rFont val="Arial"/>
      </rPr>
      <t xml:space="preserve"> - faktura za ubytování, zajištění stravy, účastnický poplatek</t>
    </r>
  </si>
  <si>
    <r>
      <rPr>
        <b/>
        <sz val="10"/>
        <color rgb="FF000000"/>
        <rFont val="Arial"/>
      </rPr>
      <t>Provozní věci</t>
    </r>
    <r>
      <rPr>
        <sz val="10"/>
        <color rgb="FF000000"/>
        <rFont val="Arial"/>
      </rPr>
      <t xml:space="preserve"> - faktura za webhosting, mobilní tarif, poplatky na poště, proplacení lístků na vlak, bankovní poplatky</t>
    </r>
  </si>
  <si>
    <t>Peněžní prostředky
v hotovosti</t>
  </si>
  <si>
    <r>
      <rPr>
        <b/>
        <sz val="10"/>
        <color rgb="FF000000"/>
        <rFont val="Arial"/>
      </rPr>
      <t>Podíly ze zisku</t>
    </r>
    <r>
      <rPr>
        <sz val="10"/>
        <color rgb="FF000000"/>
        <rFont val="Arial"/>
      </rPr>
      <t xml:space="preserve"> - jiným sborům ze společných koncertů, za dárky sbormistrům (alkohol, peníze)…</t>
    </r>
  </si>
  <si>
    <t>OST</t>
  </si>
  <si>
    <t>Peněžní prostředky
na bankovních účtech</t>
  </si>
  <si>
    <t>Průběžné položky</t>
  </si>
  <si>
    <t>Příjmy celkem</t>
  </si>
  <si>
    <t>Výdaje celkem</t>
  </si>
  <si>
    <t>Příjmy podle stanov, příjmy osvobozené a zdaněné srážkovou daní</t>
  </si>
  <si>
    <t>Peněžní prostředky na bankovních účtech</t>
  </si>
  <si>
    <t>Příjmy z veřejných sbírek</t>
  </si>
  <si>
    <t>Nedaňové příjmy celkem</t>
  </si>
  <si>
    <t>Výdaje z činností podle stanov a srážková daň</t>
  </si>
  <si>
    <t>Nedaňové výdaje celkem</t>
  </si>
  <si>
    <t>Zásoby</t>
  </si>
  <si>
    <t>Pohledávky</t>
  </si>
  <si>
    <t>Úvěry a zápůjčky poskytnuté</t>
  </si>
  <si>
    <t>Dotace a příspěvky přijaté z veřej. rozpočtů</t>
  </si>
  <si>
    <t>Ostatní majetek</t>
  </si>
  <si>
    <t>Prodej výrobků 
a služeb</t>
  </si>
  <si>
    <t>Příjmy 
z veřejných sbírek</t>
  </si>
  <si>
    <t>Kursové rozdíly</t>
  </si>
  <si>
    <t>Dlouhodobý nehmotný a hmotný majetek</t>
  </si>
  <si>
    <t>Majetek celkem</t>
  </si>
  <si>
    <t>Zboží</t>
  </si>
  <si>
    <t>Mzdy</t>
  </si>
  <si>
    <t>Pojistné za zaměstnance a zaměstnavatele</t>
  </si>
  <si>
    <t>Ostatní osobní výdaje</t>
  </si>
  <si>
    <t>Účel</t>
  </si>
  <si>
    <t>Příjem</t>
  </si>
  <si>
    <t>Výdaj</t>
  </si>
  <si>
    <t>(sl. 7+9)</t>
  </si>
  <si>
    <t>(sl. 8+10)</t>
  </si>
  <si>
    <t>09</t>
  </si>
  <si>
    <t>10</t>
  </si>
  <si>
    <t>11</t>
  </si>
  <si>
    <t>21</t>
  </si>
  <si>
    <t>Závazky</t>
  </si>
  <si>
    <t>29</t>
  </si>
  <si>
    <t xml:space="preserve">B. </t>
  </si>
  <si>
    <t>22</t>
  </si>
  <si>
    <t>13</t>
  </si>
  <si>
    <t>28</t>
  </si>
  <si>
    <t>14</t>
  </si>
  <si>
    <t>15</t>
  </si>
  <si>
    <t>26</t>
  </si>
  <si>
    <t>30</t>
  </si>
  <si>
    <t>Úvěry a zápůjčky přijaté</t>
  </si>
  <si>
    <t>;</t>
  </si>
  <si>
    <t>Závazky celkem</t>
  </si>
  <si>
    <t>ROZDÍL MAJETKU A ZÁVAZKŮ</t>
  </si>
  <si>
    <t>Podpisový záznam statutárního orgánu:</t>
  </si>
  <si>
    <t>Podpisový záznam účetní jednotky:</t>
  </si>
  <si>
    <t>ROZDÍL PŘÍJMŮ A VÝDAJŮ</t>
  </si>
  <si>
    <t>Platba za aranž Slunečný hrob</t>
  </si>
  <si>
    <t>Převoz kláves (LAMEN)</t>
  </si>
  <si>
    <t>Píra mimino</t>
  </si>
  <si>
    <t>KP Smíchov - LAMEN Praha</t>
  </si>
  <si>
    <t>Kasička na vstupné</t>
  </si>
  <si>
    <t>Vyrovnání s Lukášem za kravaty</t>
  </si>
  <si>
    <t>LAMEN doplňky</t>
  </si>
  <si>
    <t>Vstupné LAMEN (QR platba)</t>
  </si>
  <si>
    <t>Vstupné LAMEN cash (Praha)</t>
  </si>
  <si>
    <t>Vstupné LAMEN cash (Rokycany)</t>
  </si>
  <si>
    <t>Převod - výběr z pokladny</t>
  </si>
  <si>
    <t>Převod - připsáno na účet</t>
  </si>
  <si>
    <t>Vincentky</t>
  </si>
  <si>
    <t>Podíl pro Lamas (LAMEN 2024)</t>
  </si>
  <si>
    <t>Káva v kapslích Nespresso</t>
  </si>
  <si>
    <t>Vstupné - koncert s Amíkama</t>
  </si>
  <si>
    <t>Busking v Ústí</t>
  </si>
  <si>
    <t>Erár víno z Malých Žernosek</t>
  </si>
  <si>
    <t>Za degustaci</t>
  </si>
  <si>
    <t>Záloha na sud piva (Bart vrátit!)</t>
  </si>
  <si>
    <t>Honorář za vystoupení na IFAS</t>
  </si>
  <si>
    <t>Honorář za vystoupení na oslavě</t>
  </si>
  <si>
    <t>Doména 10men.cz a F-PAGE</t>
  </si>
  <si>
    <t>Odvápňovací sada do kávovaru</t>
  </si>
  <si>
    <t>3/4 honoráře z Chemnitz</t>
  </si>
  <si>
    <t>Adrian - doprava IFAS</t>
  </si>
  <si>
    <t>Kryštof M. - doprava IFAS</t>
  </si>
  <si>
    <t>Šálky do zkušebny</t>
  </si>
  <si>
    <t>Zásobník na kafe a čaje</t>
  </si>
  <si>
    <t>Jirkov - startovné</t>
  </si>
  <si>
    <t>Lžičky</t>
  </si>
  <si>
    <t>Jirkov - jídlo</t>
  </si>
  <si>
    <t>Vrácená záloha na sud</t>
  </si>
  <si>
    <t>Všechlapy</t>
  </si>
  <si>
    <t>Razítko</t>
  </si>
  <si>
    <t>Baterky do kláves</t>
  </si>
  <si>
    <t>Za koncert v Libštátu</t>
  </si>
  <si>
    <t>Za koncert na Zbraslavi</t>
  </si>
  <si>
    <t>IFAS - Marek tam</t>
  </si>
  <si>
    <t>IFAS - Marek zpět</t>
  </si>
  <si>
    <t>Marek focení</t>
  </si>
  <si>
    <t>Odeslání not do Jirkova</t>
  </si>
  <si>
    <t>Pošta na soud (změna ve výboru)</t>
  </si>
  <si>
    <t>Kája - doprava IFAS</t>
  </si>
  <si>
    <t>Převod na spolkový účet (odeslání)</t>
  </si>
  <si>
    <t>Převod na spolkový účet (příjem)</t>
  </si>
  <si>
    <t>Poplatek</t>
  </si>
  <si>
    <t>Za koncert na trzích v Chýni</t>
  </si>
  <si>
    <t>Advent 10men+Vokalion (cash)</t>
  </si>
  <si>
    <t>Advent 10men+Vokalion (karty)</t>
  </si>
  <si>
    <t>Kytky pro Vokalion</t>
  </si>
  <si>
    <t>Agi - Libštát</t>
  </si>
  <si>
    <t>Agi - Advent 10men&amp;Voka</t>
  </si>
  <si>
    <t>Podíl Vokalionu</t>
  </si>
  <si>
    <t>Podíl kostelu</t>
  </si>
  <si>
    <t>Přenos součtů</t>
  </si>
  <si>
    <t>Konečný zůstatek</t>
  </si>
  <si>
    <t>Adventní koncert 10men &amp; Vokalion</t>
  </si>
  <si>
    <t>Výtěžek ze vstupného - platby hotově</t>
  </si>
  <si>
    <t>Výtěžek ze vstupného - platby kartou</t>
  </si>
  <si>
    <t>Výtěžek celkem</t>
  </si>
  <si>
    <t>Foto 20 %</t>
  </si>
  <si>
    <t>zaplaceno</t>
  </si>
  <si>
    <t>Výtěžek po odečtení podílu za foto</t>
  </si>
  <si>
    <t>Podíl pro Vokalion</t>
  </si>
  <si>
    <t>Pro kostel</t>
  </si>
  <si>
    <t>Hospodářský výsledek</t>
  </si>
  <si>
    <r>
      <rPr>
        <b/>
        <sz val="11"/>
        <color rgb="FF34A853"/>
        <rFont val="Calibri"/>
      </rPr>
      <t xml:space="preserve">Příjmy celkem </t>
    </r>
    <r>
      <rPr>
        <sz val="11"/>
        <color rgb="FF34A853"/>
        <rFont val="Calibri"/>
      </rPr>
      <t>(</t>
    </r>
    <r>
      <rPr>
        <i/>
        <sz val="11"/>
        <color rgb="FF34A853"/>
        <rFont val="Calibri"/>
      </rPr>
      <t>včetně poč. zůstatku</t>
    </r>
    <r>
      <rPr>
        <sz val="11"/>
        <color rgb="FF34A853"/>
        <rFont val="Calibri"/>
      </rPr>
      <t>)</t>
    </r>
  </si>
  <si>
    <t>Hotovost:</t>
  </si>
  <si>
    <t>Bankovní účet: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</si>
</sst>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5]d\.\ mmmm\ yyyy"/>
    <numFmt numFmtId="165" formatCode="_-* #,##0.00_-;\-* #,##0.00_-;_-* &quot;-&quot;??_-;_-@"/>
    <numFmt numFmtId="166" formatCode="#,##0.00\ [$Kč-405]"/>
    <numFmt numFmtId="167" formatCode="d&quot;. &quot;m&quot;. &quot;yyyy"/>
    <numFmt numFmtId="168" formatCode="d\.\ m\.\ yyyy"/>
    <numFmt numFmtId="169" formatCode="#,##0.00&quot;Kč&quot;"/>
  </numFmts>
  <fonts count="36" x14ac:knownFonts="1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0"/>
      <color rgb="FF000000"/>
      <name val="Arial"/>
    </font>
    <font>
      <b/>
      <sz val="10"/>
      <color rgb="FF000000"/>
      <name val="Arial"/>
    </font>
    <font>
      <sz val="10"/>
      <name val="Arial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Calibri"/>
    </font>
    <font>
      <sz val="11"/>
      <color rgb="FFBFBFBF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83C92"/>
      <name val="Calibri"/>
    </font>
    <font>
      <sz val="11"/>
      <color rgb="FF7D5E02"/>
      <name val="Calibri"/>
    </font>
    <font>
      <sz val="11"/>
      <color rgb="FF1C4587"/>
      <name val="Calibri"/>
    </font>
    <font>
      <u/>
      <sz val="11"/>
      <color rgb="FF7D5E02"/>
      <name val="Calibri"/>
    </font>
    <font>
      <u/>
      <sz val="11"/>
      <color rgb="FF7D5E02"/>
      <name val="Calibri"/>
    </font>
    <font>
      <u/>
      <sz val="11"/>
      <color rgb="FF7D5E02"/>
      <name val="Calibri"/>
    </font>
    <font>
      <sz val="10"/>
      <color rgb="FF1C4587"/>
      <name val="Arial"/>
    </font>
    <font>
      <sz val="10"/>
      <color rgb="FF083C92"/>
      <name val="Calibri"/>
    </font>
    <font>
      <sz val="11"/>
      <color rgb="FFFF0000"/>
      <name val="Calibri"/>
    </font>
    <font>
      <sz val="10"/>
      <color theme="1"/>
      <name val="Arial"/>
      <scheme val="minor"/>
    </font>
    <font>
      <b/>
      <sz val="11"/>
      <color rgb="FF34A853"/>
      <name val="Calibri"/>
    </font>
    <font>
      <sz val="11"/>
      <color theme="7"/>
      <name val="Calibri"/>
    </font>
    <font>
      <b/>
      <sz val="11"/>
      <color rgb="FFEA4335"/>
      <name val="Calibri"/>
    </font>
    <font>
      <sz val="11"/>
      <color theme="5"/>
      <name val="Calibri"/>
    </font>
    <font>
      <strike/>
      <sz val="11"/>
      <color theme="1"/>
      <name val="Arial"/>
    </font>
    <font>
      <sz val="11"/>
      <color theme="1"/>
      <name val="Arial"/>
    </font>
    <font>
      <strike/>
      <sz val="10"/>
      <color theme="1"/>
      <name val="Arial"/>
    </font>
    <font>
      <sz val="11"/>
      <color rgb="FF34A853"/>
      <name val="Calibri"/>
    </font>
    <font>
      <i/>
      <sz val="11"/>
      <color rgb="FF34A853"/>
      <name val="Calibri"/>
    </font>
    <font>
      <sz val="11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28E85"/>
        <bgColor rgb="FFF28E85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2" xfId="0" applyFont="1" applyBorder="1" applyAlignment="1">
      <alignment horizontal="center"/>
    </xf>
    <xf numFmtId="0" fontId="5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6" fillId="0" borderId="0" xfId="0" applyFont="1" applyAlignment="1">
      <alignment vertical="top" wrapText="1"/>
    </xf>
    <xf numFmtId="0" fontId="4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5" fillId="0" borderId="0" xfId="0" applyFont="1" applyAlignment="1">
      <alignment horizontal="left" vertical="top"/>
    </xf>
    <xf numFmtId="0" fontId="8" fillId="0" borderId="4" xfId="0" applyFont="1" applyBorder="1" applyAlignment="1">
      <alignment horizontal="center"/>
    </xf>
    <xf numFmtId="0" fontId="6" fillId="0" borderId="0" xfId="0" applyFont="1" applyAlignment="1">
      <alignment horizontal="left" vertical="top" wrapText="1"/>
    </xf>
    <xf numFmtId="0" fontId="7" fillId="0" borderId="5" xfId="0" applyFont="1" applyBorder="1"/>
    <xf numFmtId="0" fontId="2" fillId="0" borderId="0" xfId="0" applyFont="1" applyAlignment="1">
      <alignment vertical="top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7" fillId="0" borderId="7" xfId="0" applyFont="1" applyBorder="1"/>
    <xf numFmtId="165" fontId="7" fillId="0" borderId="0" xfId="0" applyNumberFormat="1" applyFont="1"/>
    <xf numFmtId="0" fontId="7" fillId="0" borderId="8" xfId="0" applyFont="1" applyBorder="1"/>
    <xf numFmtId="0" fontId="2" fillId="0" borderId="0" xfId="0" applyFont="1" applyAlignment="1">
      <alignment horizontal="left"/>
    </xf>
    <xf numFmtId="0" fontId="7" fillId="0" borderId="9" xfId="0" applyFont="1" applyBorder="1"/>
    <xf numFmtId="0" fontId="7" fillId="0" borderId="11" xfId="0" applyFont="1" applyBorder="1"/>
    <xf numFmtId="0" fontId="7" fillId="0" borderId="13" xfId="0" applyFont="1" applyBorder="1"/>
    <xf numFmtId="0" fontId="7" fillId="0" borderId="15" xfId="0" applyFont="1" applyBorder="1"/>
    <xf numFmtId="0" fontId="7" fillId="0" borderId="19" xfId="0" applyFont="1" applyBorder="1"/>
    <xf numFmtId="0" fontId="7" fillId="0" borderId="22" xfId="0" applyFont="1" applyBorder="1"/>
    <xf numFmtId="0" fontId="5" fillId="0" borderId="23" xfId="0" applyFont="1" applyBorder="1" applyAlignment="1">
      <alignment horizontal="center"/>
    </xf>
    <xf numFmtId="0" fontId="7" fillId="0" borderId="24" xfId="0" applyFont="1" applyBorder="1"/>
    <xf numFmtId="0" fontId="5" fillId="0" borderId="23" xfId="0" applyFont="1" applyBorder="1" applyAlignment="1">
      <alignment horizontal="center" wrapText="1"/>
    </xf>
    <xf numFmtId="0" fontId="5" fillId="0" borderId="13" xfId="0" applyFont="1" applyBorder="1"/>
    <xf numFmtId="0" fontId="7" fillId="0" borderId="27" xfId="0" applyFont="1" applyBorder="1"/>
    <xf numFmtId="0" fontId="2" fillId="0" borderId="16" xfId="0" applyFont="1" applyBorder="1"/>
    <xf numFmtId="0" fontId="7" fillId="0" borderId="23" xfId="0" applyFont="1" applyBorder="1"/>
    <xf numFmtId="0" fontId="2" fillId="0" borderId="17" xfId="0" applyFont="1" applyBorder="1"/>
    <xf numFmtId="0" fontId="6" fillId="0" borderId="22" xfId="0" applyFont="1" applyBorder="1"/>
    <xf numFmtId="0" fontId="7" fillId="0" borderId="31" xfId="0" applyFont="1" applyBorder="1"/>
    <xf numFmtId="0" fontId="7" fillId="0" borderId="32" xfId="0" applyFont="1" applyBorder="1"/>
    <xf numFmtId="1" fontId="6" fillId="0" borderId="22" xfId="0" applyNumberFormat="1" applyFont="1" applyBorder="1" applyAlignment="1">
      <alignment horizontal="center"/>
    </xf>
    <xf numFmtId="0" fontId="7" fillId="0" borderId="2" xfId="0" applyFont="1" applyBorder="1"/>
    <xf numFmtId="0" fontId="7" fillId="0" borderId="33" xfId="0" applyFont="1" applyBorder="1"/>
    <xf numFmtId="0" fontId="7" fillId="0" borderId="34" xfId="0" applyFont="1" applyBorder="1"/>
    <xf numFmtId="1" fontId="6" fillId="0" borderId="22" xfId="0" applyNumberFormat="1" applyFont="1" applyBorder="1" applyAlignment="1">
      <alignment horizontal="right"/>
    </xf>
    <xf numFmtId="1" fontId="2" fillId="0" borderId="22" xfId="0" applyNumberFormat="1" applyFont="1" applyBorder="1"/>
    <xf numFmtId="0" fontId="11" fillId="0" borderId="39" xfId="0" applyFont="1" applyBorder="1"/>
    <xf numFmtId="0" fontId="12" fillId="0" borderId="22" xfId="0" applyFont="1" applyBorder="1" applyAlignment="1">
      <alignment wrapText="1"/>
    </xf>
    <xf numFmtId="0" fontId="4" fillId="0" borderId="44" xfId="0" applyFont="1" applyBorder="1"/>
    <xf numFmtId="0" fontId="4" fillId="0" borderId="45" xfId="0" applyFont="1" applyBorder="1"/>
    <xf numFmtId="0" fontId="10" fillId="0" borderId="2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5" fillId="0" borderId="23" xfId="0" applyFont="1" applyBorder="1"/>
    <xf numFmtId="1" fontId="5" fillId="0" borderId="23" xfId="0" applyNumberFormat="1" applyFont="1" applyBorder="1" applyAlignment="1">
      <alignment horizontal="center"/>
    </xf>
    <xf numFmtId="0" fontId="12" fillId="0" borderId="49" xfId="0" applyFont="1" applyBorder="1" applyAlignment="1">
      <alignment horizontal="center" vertical="center"/>
    </xf>
    <xf numFmtId="49" fontId="13" fillId="0" borderId="14" xfId="0" applyNumberFormat="1" applyFont="1" applyBorder="1" applyAlignment="1">
      <alignment horizontal="center"/>
    </xf>
    <xf numFmtId="0" fontId="2" fillId="0" borderId="51" xfId="0" applyFont="1" applyBorder="1"/>
    <xf numFmtId="1" fontId="5" fillId="0" borderId="23" xfId="0" applyNumberFormat="1" applyFont="1" applyBorder="1" applyAlignment="1">
      <alignment horizontal="right"/>
    </xf>
    <xf numFmtId="0" fontId="2" fillId="0" borderId="52" xfId="0" applyFont="1" applyBorder="1"/>
    <xf numFmtId="0" fontId="10" fillId="0" borderId="55" xfId="0" applyFont="1" applyBorder="1" applyAlignment="1">
      <alignment horizontal="center"/>
    </xf>
    <xf numFmtId="0" fontId="2" fillId="0" borderId="18" xfId="0" applyFont="1" applyBorder="1"/>
    <xf numFmtId="0" fontId="10" fillId="0" borderId="56" xfId="0" applyFont="1" applyBorder="1" applyAlignment="1">
      <alignment horizontal="center"/>
    </xf>
    <xf numFmtId="0" fontId="10" fillId="0" borderId="57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7" fillId="0" borderId="0" xfId="0" applyFont="1"/>
    <xf numFmtId="0" fontId="4" fillId="0" borderId="50" xfId="0" applyFont="1" applyBorder="1"/>
    <xf numFmtId="0" fontId="10" fillId="0" borderId="58" xfId="0" applyFont="1" applyBorder="1" applyAlignment="1">
      <alignment horizontal="center"/>
    </xf>
    <xf numFmtId="0" fontId="10" fillId="4" borderId="59" xfId="0" applyFont="1" applyFill="1" applyBorder="1" applyAlignment="1">
      <alignment horizontal="center"/>
    </xf>
    <xf numFmtId="0" fontId="14" fillId="5" borderId="60" xfId="0" applyFont="1" applyFill="1" applyBorder="1" applyAlignment="1">
      <alignment horizontal="right" wrapText="1"/>
    </xf>
    <xf numFmtId="0" fontId="7" fillId="5" borderId="60" xfId="0" applyFont="1" applyFill="1" applyBorder="1" applyAlignment="1">
      <alignment wrapText="1"/>
    </xf>
    <xf numFmtId="0" fontId="14" fillId="5" borderId="60" xfId="0" applyFont="1" applyFill="1" applyBorder="1" applyAlignment="1">
      <alignment horizontal="center" wrapText="1"/>
    </xf>
    <xf numFmtId="0" fontId="15" fillId="5" borderId="60" xfId="0" applyFont="1" applyFill="1" applyBorder="1" applyAlignment="1">
      <alignment wrapText="1"/>
    </xf>
    <xf numFmtId="166" fontId="10" fillId="0" borderId="52" xfId="0" applyNumberFormat="1" applyFont="1" applyBorder="1" applyAlignment="1">
      <alignment horizontal="right"/>
    </xf>
    <xf numFmtId="0" fontId="4" fillId="0" borderId="28" xfId="0" applyFont="1" applyBorder="1"/>
    <xf numFmtId="166" fontId="12" fillId="0" borderId="9" xfId="0" applyNumberFormat="1" applyFont="1" applyBorder="1"/>
    <xf numFmtId="166" fontId="10" fillId="0" borderId="29" xfId="0" applyNumberFormat="1" applyFont="1" applyBorder="1" applyAlignment="1">
      <alignment horizontal="right"/>
    </xf>
    <xf numFmtId="0" fontId="4" fillId="0" borderId="29" xfId="0" applyFont="1" applyBorder="1"/>
    <xf numFmtId="166" fontId="12" fillId="0" borderId="7" xfId="0" applyNumberFormat="1" applyFont="1" applyBorder="1"/>
    <xf numFmtId="166" fontId="12" fillId="0" borderId="51" xfId="0" applyNumberFormat="1" applyFont="1" applyBorder="1"/>
    <xf numFmtId="166" fontId="14" fillId="0" borderId="61" xfId="0" applyNumberFormat="1" applyFont="1" applyBorder="1" applyAlignment="1">
      <alignment wrapText="1"/>
    </xf>
    <xf numFmtId="166" fontId="7" fillId="0" borderId="61" xfId="0" applyNumberFormat="1" applyFont="1" applyBorder="1" applyAlignment="1">
      <alignment wrapText="1"/>
    </xf>
    <xf numFmtId="0" fontId="12" fillId="0" borderId="30" xfId="0" applyFont="1" applyBorder="1" applyAlignment="1">
      <alignment horizontal="right"/>
    </xf>
    <xf numFmtId="0" fontId="12" fillId="0" borderId="13" xfId="0" applyFont="1" applyBorder="1" applyAlignment="1">
      <alignment horizontal="right"/>
    </xf>
    <xf numFmtId="0" fontId="12" fillId="0" borderId="28" xfId="0" applyFont="1" applyBorder="1" applyAlignment="1">
      <alignment horizontal="right"/>
    </xf>
    <xf numFmtId="166" fontId="12" fillId="0" borderId="43" xfId="0" applyNumberFormat="1" applyFont="1" applyBorder="1" applyAlignment="1">
      <alignment horizontal="right"/>
    </xf>
    <xf numFmtId="166" fontId="12" fillId="0" borderId="13" xfId="0" applyNumberFormat="1" applyFont="1" applyBorder="1" applyAlignment="1">
      <alignment horizontal="right"/>
    </xf>
    <xf numFmtId="166" fontId="14" fillId="0" borderId="28" xfId="0" applyNumberFormat="1" applyFont="1" applyBorder="1" applyAlignment="1">
      <alignment horizontal="right"/>
    </xf>
    <xf numFmtId="0" fontId="12" fillId="4" borderId="61" xfId="0" applyFont="1" applyFill="1" applyBorder="1"/>
    <xf numFmtId="166" fontId="12" fillId="0" borderId="15" xfId="0" applyNumberFormat="1" applyFont="1" applyBorder="1"/>
    <xf numFmtId="0" fontId="16" fillId="0" borderId="62" xfId="0" applyFont="1" applyBorder="1" applyAlignment="1">
      <alignment horizontal="right" wrapText="1"/>
    </xf>
    <xf numFmtId="0" fontId="16" fillId="0" borderId="62" xfId="0" applyFont="1" applyBorder="1" applyAlignment="1">
      <alignment horizontal="left" wrapText="1"/>
    </xf>
    <xf numFmtId="0" fontId="16" fillId="0" borderId="62" xfId="0" applyFont="1" applyBorder="1" applyAlignment="1">
      <alignment horizontal="center" wrapText="1"/>
    </xf>
    <xf numFmtId="0" fontId="16" fillId="0" borderId="62" xfId="0" applyFont="1" applyBorder="1" applyAlignment="1">
      <alignment wrapText="1"/>
    </xf>
    <xf numFmtId="166" fontId="16" fillId="0" borderId="18" xfId="0" applyNumberFormat="1" applyFont="1" applyBorder="1"/>
    <xf numFmtId="166" fontId="16" fillId="0" borderId="24" xfId="0" applyNumberFormat="1" applyFont="1" applyBorder="1"/>
    <xf numFmtId="1" fontId="5" fillId="0" borderId="13" xfId="0" applyNumberFormat="1" applyFont="1" applyBorder="1" applyAlignment="1">
      <alignment horizontal="center"/>
    </xf>
    <xf numFmtId="166" fontId="16" fillId="0" borderId="19" xfId="0" applyNumberFormat="1" applyFont="1" applyBorder="1"/>
    <xf numFmtId="166" fontId="16" fillId="0" borderId="24" xfId="0" applyNumberFormat="1" applyFont="1" applyBorder="1" applyAlignment="1">
      <alignment horizontal="right"/>
    </xf>
    <xf numFmtId="0" fontId="16" fillId="0" borderId="19" xfId="0" applyFont="1" applyBorder="1"/>
    <xf numFmtId="0" fontId="16" fillId="0" borderId="16" xfId="0" applyFont="1" applyBorder="1"/>
    <xf numFmtId="1" fontId="5" fillId="0" borderId="13" xfId="0" applyNumberFormat="1" applyFont="1" applyBorder="1" applyAlignment="1">
      <alignment horizontal="right"/>
    </xf>
    <xf numFmtId="166" fontId="16" fillId="0" borderId="62" xfId="0" applyNumberFormat="1" applyFont="1" applyBorder="1" applyAlignment="1">
      <alignment horizontal="right" wrapText="1"/>
    </xf>
    <xf numFmtId="0" fontId="16" fillId="0" borderId="18" xfId="0" applyFont="1" applyBorder="1" applyAlignment="1">
      <alignment horizontal="right"/>
    </xf>
    <xf numFmtId="0" fontId="16" fillId="0" borderId="22" xfId="0" applyFont="1" applyBorder="1" applyAlignment="1">
      <alignment horizontal="right"/>
    </xf>
    <xf numFmtId="0" fontId="16" fillId="0" borderId="16" xfId="0" applyFont="1" applyBorder="1" applyAlignment="1">
      <alignment horizontal="right"/>
    </xf>
    <xf numFmtId="166" fontId="16" fillId="0" borderId="62" xfId="0" applyNumberFormat="1" applyFont="1" applyBorder="1" applyAlignment="1">
      <alignment horizontal="right"/>
    </xf>
    <xf numFmtId="166" fontId="16" fillId="0" borderId="22" xfId="0" applyNumberFormat="1" applyFont="1" applyBorder="1" applyAlignment="1">
      <alignment horizontal="right"/>
    </xf>
    <xf numFmtId="166" fontId="16" fillId="0" borderId="16" xfId="0" applyNumberFormat="1" applyFont="1" applyBorder="1" applyAlignment="1">
      <alignment horizontal="right"/>
    </xf>
    <xf numFmtId="166" fontId="16" fillId="0" borderId="43" xfId="0" applyNumberFormat="1" applyFont="1" applyBorder="1" applyAlignment="1">
      <alignment horizontal="right"/>
    </xf>
    <xf numFmtId="0" fontId="16" fillId="4" borderId="62" xfId="0" applyFont="1" applyFill="1" applyBorder="1"/>
    <xf numFmtId="0" fontId="16" fillId="4" borderId="62" xfId="0" applyFont="1" applyFill="1" applyBorder="1" applyAlignment="1">
      <alignment horizontal="left"/>
    </xf>
    <xf numFmtId="0" fontId="17" fillId="0" borderId="62" xfId="0" applyFont="1" applyBorder="1" applyAlignment="1">
      <alignment horizontal="right" wrapText="1"/>
    </xf>
    <xf numFmtId="0" fontId="17" fillId="0" borderId="62" xfId="0" applyFont="1" applyBorder="1" applyAlignment="1">
      <alignment horizontal="left" wrapText="1"/>
    </xf>
    <xf numFmtId="0" fontId="17" fillId="0" borderId="62" xfId="0" applyFont="1" applyBorder="1" applyAlignment="1">
      <alignment horizontal="center" wrapText="1"/>
    </xf>
    <xf numFmtId="0" fontId="17" fillId="0" borderId="62" xfId="0" applyFont="1" applyBorder="1" applyAlignment="1">
      <alignment wrapText="1"/>
    </xf>
    <xf numFmtId="166" fontId="17" fillId="0" borderId="18" xfId="0" applyNumberFormat="1" applyFont="1" applyBorder="1"/>
    <xf numFmtId="166" fontId="17" fillId="0" borderId="24" xfId="0" applyNumberFormat="1" applyFont="1" applyBorder="1"/>
    <xf numFmtId="166" fontId="17" fillId="0" borderId="19" xfId="0" applyNumberFormat="1" applyFont="1" applyBorder="1" applyAlignment="1">
      <alignment horizontal="right"/>
    </xf>
    <xf numFmtId="0" fontId="17" fillId="0" borderId="19" xfId="0" applyFont="1" applyBorder="1"/>
    <xf numFmtId="0" fontId="17" fillId="0" borderId="16" xfId="0" applyFont="1" applyBorder="1"/>
    <xf numFmtId="166" fontId="17" fillId="0" borderId="62" xfId="0" applyNumberFormat="1" applyFont="1" applyBorder="1" applyAlignment="1">
      <alignment horizontal="right" wrapText="1"/>
    </xf>
    <xf numFmtId="0" fontId="17" fillId="0" borderId="18" xfId="0" applyFont="1" applyBorder="1" applyAlignment="1">
      <alignment horizontal="right"/>
    </xf>
    <xf numFmtId="166" fontId="17" fillId="0" borderId="18" xfId="0" applyNumberFormat="1" applyFont="1" applyBorder="1" applyAlignment="1">
      <alignment horizontal="right"/>
    </xf>
    <xf numFmtId="0" fontId="17" fillId="0" borderId="22" xfId="0" applyFont="1" applyBorder="1" applyAlignment="1">
      <alignment horizontal="right"/>
    </xf>
    <xf numFmtId="0" fontId="17" fillId="0" borderId="16" xfId="0" applyFont="1" applyBorder="1" applyAlignment="1">
      <alignment horizontal="right"/>
    </xf>
    <xf numFmtId="166" fontId="17" fillId="0" borderId="62" xfId="0" applyNumberFormat="1" applyFont="1" applyBorder="1" applyAlignment="1">
      <alignment horizontal="right"/>
    </xf>
    <xf numFmtId="166" fontId="17" fillId="0" borderId="22" xfId="0" applyNumberFormat="1" applyFont="1" applyBorder="1" applyAlignment="1">
      <alignment horizontal="right"/>
    </xf>
    <xf numFmtId="166" fontId="17" fillId="0" borderId="16" xfId="0" applyNumberFormat="1" applyFont="1" applyBorder="1" applyAlignment="1">
      <alignment horizontal="right"/>
    </xf>
    <xf numFmtId="166" fontId="17" fillId="0" borderId="43" xfId="0" applyNumberFormat="1" applyFont="1" applyBorder="1" applyAlignment="1">
      <alignment horizontal="right"/>
    </xf>
    <xf numFmtId="0" fontId="17" fillId="4" borderId="62" xfId="0" applyFont="1" applyFill="1" applyBorder="1"/>
    <xf numFmtId="166" fontId="16" fillId="0" borderId="18" xfId="0" applyNumberFormat="1" applyFont="1" applyBorder="1" applyAlignment="1">
      <alignment horizontal="right"/>
    </xf>
    <xf numFmtId="166" fontId="16" fillId="6" borderId="63" xfId="0" applyNumberFormat="1" applyFont="1" applyFill="1" applyBorder="1"/>
    <xf numFmtId="166" fontId="16" fillId="6" borderId="24" xfId="0" applyNumberFormat="1" applyFont="1" applyFill="1" applyBorder="1" applyAlignment="1">
      <alignment horizontal="right"/>
    </xf>
    <xf numFmtId="166" fontId="16" fillId="6" borderId="19" xfId="0" applyNumberFormat="1" applyFont="1" applyFill="1" applyBorder="1"/>
    <xf numFmtId="166" fontId="16" fillId="6" borderId="24" xfId="0" applyNumberFormat="1" applyFont="1" applyFill="1" applyBorder="1"/>
    <xf numFmtId="0" fontId="16" fillId="6" borderId="19" xfId="0" applyFont="1" applyFill="1" applyBorder="1"/>
    <xf numFmtId="166" fontId="16" fillId="6" borderId="64" xfId="0" applyNumberFormat="1" applyFont="1" applyFill="1" applyBorder="1" applyAlignment="1">
      <alignment horizontal="right"/>
    </xf>
    <xf numFmtId="0" fontId="16" fillId="0" borderId="62" xfId="0" applyFont="1" applyBorder="1"/>
    <xf numFmtId="166" fontId="16" fillId="6" borderId="19" xfId="0" applyNumberFormat="1" applyFont="1" applyFill="1" applyBorder="1" applyAlignment="1">
      <alignment horizontal="right"/>
    </xf>
    <xf numFmtId="0" fontId="16" fillId="6" borderId="64" xfId="0" applyFont="1" applyFill="1" applyBorder="1"/>
    <xf numFmtId="167" fontId="18" fillId="0" borderId="62" xfId="0" applyNumberFormat="1" applyFont="1" applyBorder="1"/>
    <xf numFmtId="0" fontId="18" fillId="0" borderId="25" xfId="0" applyFont="1" applyBorder="1" applyAlignment="1">
      <alignment horizontal="center"/>
    </xf>
    <xf numFmtId="0" fontId="18" fillId="0" borderId="25" xfId="0" applyFont="1" applyBorder="1"/>
    <xf numFmtId="166" fontId="18" fillId="0" borderId="19" xfId="0" applyNumberFormat="1" applyFont="1" applyBorder="1"/>
    <xf numFmtId="166" fontId="18" fillId="0" borderId="24" xfId="0" applyNumberFormat="1" applyFont="1" applyBorder="1"/>
    <xf numFmtId="0" fontId="18" fillId="0" borderId="19" xfId="0" applyFont="1" applyBorder="1"/>
    <xf numFmtId="0" fontId="18" fillId="0" borderId="16" xfId="0" applyFont="1" applyBorder="1"/>
    <xf numFmtId="166" fontId="18" fillId="0" borderId="43" xfId="0" applyNumberFormat="1" applyFont="1" applyBorder="1"/>
    <xf numFmtId="0" fontId="12" fillId="0" borderId="18" xfId="0" applyFont="1" applyBorder="1" applyAlignment="1">
      <alignment horizontal="right"/>
    </xf>
    <xf numFmtId="0" fontId="12" fillId="0" borderId="22" xfId="0" applyFont="1" applyBorder="1" applyAlignment="1">
      <alignment horizontal="right"/>
    </xf>
    <xf numFmtId="0" fontId="12" fillId="0" borderId="16" xfId="0" applyFont="1" applyBorder="1" applyAlignment="1">
      <alignment horizontal="right"/>
    </xf>
    <xf numFmtId="166" fontId="12" fillId="0" borderId="62" xfId="0" applyNumberFormat="1" applyFont="1" applyBorder="1" applyAlignment="1">
      <alignment horizontal="right"/>
    </xf>
    <xf numFmtId="166" fontId="12" fillId="0" borderId="22" xfId="0" applyNumberFormat="1" applyFont="1" applyBorder="1" applyAlignment="1">
      <alignment horizontal="right"/>
    </xf>
    <xf numFmtId="166" fontId="18" fillId="0" borderId="22" xfId="0" applyNumberFormat="1" applyFont="1" applyBorder="1" applyAlignment="1">
      <alignment horizontal="right"/>
    </xf>
    <xf numFmtId="0" fontId="14" fillId="0" borderId="22" xfId="0" applyFont="1" applyBorder="1" applyAlignment="1">
      <alignment horizontal="right"/>
    </xf>
    <xf numFmtId="166" fontId="14" fillId="0" borderId="16" xfId="0" applyNumberFormat="1" applyFont="1" applyBorder="1" applyAlignment="1">
      <alignment horizontal="right"/>
    </xf>
    <xf numFmtId="0" fontId="12" fillId="4" borderId="62" xfId="0" applyFont="1" applyFill="1" applyBorder="1"/>
    <xf numFmtId="168" fontId="16" fillId="0" borderId="43" xfId="0" applyNumberFormat="1" applyFont="1" applyBorder="1" applyAlignment="1">
      <alignment horizontal="right"/>
    </xf>
    <xf numFmtId="0" fontId="16" fillId="0" borderId="42" xfId="0" applyFont="1" applyBorder="1" applyAlignment="1">
      <alignment horizontal="left"/>
    </xf>
    <xf numFmtId="0" fontId="16" fillId="0" borderId="42" xfId="0" applyFont="1" applyBorder="1" applyAlignment="1">
      <alignment horizontal="center"/>
    </xf>
    <xf numFmtId="0" fontId="16" fillId="0" borderId="42" xfId="0" applyFont="1" applyBorder="1"/>
    <xf numFmtId="166" fontId="16" fillId="0" borderId="11" xfId="0" applyNumberFormat="1" applyFont="1" applyBorder="1"/>
    <xf numFmtId="166" fontId="16" fillId="0" borderId="15" xfId="0" applyNumberFormat="1" applyFont="1" applyBorder="1"/>
    <xf numFmtId="166" fontId="16" fillId="0" borderId="15" xfId="0" applyNumberFormat="1" applyFont="1" applyBorder="1" applyAlignment="1">
      <alignment horizontal="right"/>
    </xf>
    <xf numFmtId="0" fontId="16" fillId="0" borderId="11" xfId="0" applyFont="1" applyBorder="1"/>
    <xf numFmtId="0" fontId="16" fillId="0" borderId="28" xfId="0" applyFont="1" applyBorder="1"/>
    <xf numFmtId="166" fontId="16" fillId="0" borderId="43" xfId="0" applyNumberFormat="1" applyFont="1" applyBorder="1"/>
    <xf numFmtId="0" fontId="16" fillId="0" borderId="30" xfId="0" applyFont="1" applyBorder="1" applyAlignment="1">
      <alignment horizontal="right"/>
    </xf>
    <xf numFmtId="166" fontId="16" fillId="0" borderId="30" xfId="0" applyNumberFormat="1" applyFont="1" applyBorder="1" applyAlignment="1">
      <alignment horizontal="right"/>
    </xf>
    <xf numFmtId="0" fontId="16" fillId="0" borderId="13" xfId="0" applyFont="1" applyBorder="1" applyAlignment="1">
      <alignment horizontal="right"/>
    </xf>
    <xf numFmtId="0" fontId="16" fillId="0" borderId="28" xfId="0" applyFont="1" applyBorder="1" applyAlignment="1">
      <alignment horizontal="right"/>
    </xf>
    <xf numFmtId="166" fontId="16" fillId="0" borderId="13" xfId="0" applyNumberFormat="1" applyFont="1" applyBorder="1" applyAlignment="1">
      <alignment horizontal="right"/>
    </xf>
    <xf numFmtId="166" fontId="16" fillId="0" borderId="28" xfId="0" applyNumberFormat="1" applyFont="1" applyBorder="1" applyAlignment="1">
      <alignment horizontal="right"/>
    </xf>
    <xf numFmtId="0" fontId="16" fillId="4" borderId="43" xfId="0" applyFont="1" applyFill="1" applyBorder="1"/>
    <xf numFmtId="168" fontId="16" fillId="0" borderId="62" xfId="0" applyNumberFormat="1" applyFont="1" applyBorder="1" applyAlignment="1">
      <alignment horizontal="right"/>
    </xf>
    <xf numFmtId="0" fontId="16" fillId="0" borderId="25" xfId="0" applyFont="1" applyBorder="1" applyAlignment="1">
      <alignment horizontal="left"/>
    </xf>
    <xf numFmtId="0" fontId="16" fillId="0" borderId="25" xfId="0" applyFont="1" applyBorder="1" applyAlignment="1">
      <alignment horizontal="center"/>
    </xf>
    <xf numFmtId="0" fontId="16" fillId="0" borderId="25" xfId="0" applyFont="1" applyBorder="1"/>
    <xf numFmtId="166" fontId="16" fillId="0" borderId="19" xfId="0" applyNumberFormat="1" applyFont="1" applyBorder="1" applyAlignment="1">
      <alignment horizontal="right"/>
    </xf>
    <xf numFmtId="168" fontId="17" fillId="0" borderId="62" xfId="0" applyNumberFormat="1" applyFont="1" applyBorder="1" applyAlignment="1">
      <alignment horizontal="right"/>
    </xf>
    <xf numFmtId="0" fontId="17" fillId="0" borderId="25" xfId="0" applyFont="1" applyBorder="1" applyAlignment="1">
      <alignment horizontal="left"/>
    </xf>
    <xf numFmtId="0" fontId="17" fillId="0" borderId="25" xfId="0" applyFont="1" applyBorder="1" applyAlignment="1">
      <alignment horizontal="center"/>
    </xf>
    <xf numFmtId="0" fontId="17" fillId="0" borderId="25" xfId="0" applyFont="1" applyBorder="1"/>
    <xf numFmtId="166" fontId="17" fillId="0" borderId="19" xfId="0" applyNumberFormat="1" applyFont="1" applyBorder="1"/>
    <xf numFmtId="166" fontId="17" fillId="0" borderId="24" xfId="0" applyNumberFormat="1" applyFont="1" applyBorder="1" applyAlignment="1">
      <alignment horizontal="right"/>
    </xf>
    <xf numFmtId="166" fontId="17" fillId="0" borderId="43" xfId="0" applyNumberFormat="1" applyFont="1" applyBorder="1"/>
    <xf numFmtId="0" fontId="19" fillId="0" borderId="18" xfId="0" applyFont="1" applyBorder="1" applyAlignment="1">
      <alignment horizontal="right"/>
    </xf>
    <xf numFmtId="0" fontId="20" fillId="0" borderId="22" xfId="0" applyFont="1" applyBorder="1" applyAlignment="1">
      <alignment horizontal="right"/>
    </xf>
    <xf numFmtId="0" fontId="21" fillId="4" borderId="62" xfId="0" applyFont="1" applyFill="1" applyBorder="1"/>
    <xf numFmtId="168" fontId="16" fillId="0" borderId="62" xfId="0" applyNumberFormat="1" applyFont="1" applyBorder="1"/>
    <xf numFmtId="167" fontId="16" fillId="0" borderId="62" xfId="0" applyNumberFormat="1" applyFont="1" applyBorder="1"/>
    <xf numFmtId="166" fontId="12" fillId="0" borderId="16" xfId="0" applyNumberFormat="1" applyFont="1" applyBorder="1" applyAlignment="1">
      <alignment horizontal="right"/>
    </xf>
    <xf numFmtId="166" fontId="12" fillId="0" borderId="43" xfId="0" applyNumberFormat="1" applyFont="1" applyBorder="1"/>
    <xf numFmtId="166" fontId="12" fillId="0" borderId="19" xfId="0" applyNumberFormat="1" applyFont="1" applyBorder="1"/>
    <xf numFmtId="166" fontId="12" fillId="0" borderId="24" xfId="0" applyNumberFormat="1" applyFont="1" applyBorder="1"/>
    <xf numFmtId="0" fontId="12" fillId="0" borderId="19" xfId="0" applyFont="1" applyBorder="1"/>
    <xf numFmtId="0" fontId="12" fillId="0" borderId="16" xfId="0" applyFont="1" applyBorder="1"/>
    <xf numFmtId="0" fontId="18" fillId="0" borderId="18" xfId="0" applyFont="1" applyBorder="1" applyAlignment="1">
      <alignment horizontal="right"/>
    </xf>
    <xf numFmtId="166" fontId="18" fillId="0" borderId="18" xfId="0" applyNumberFormat="1" applyFont="1" applyBorder="1" applyAlignment="1">
      <alignment horizontal="right"/>
    </xf>
    <xf numFmtId="0" fontId="18" fillId="0" borderId="22" xfId="0" applyFont="1" applyBorder="1" applyAlignment="1">
      <alignment horizontal="right"/>
    </xf>
    <xf numFmtId="0" fontId="18" fillId="0" borderId="16" xfId="0" applyFont="1" applyBorder="1" applyAlignment="1">
      <alignment horizontal="right"/>
    </xf>
    <xf numFmtId="166" fontId="18" fillId="0" borderId="62" xfId="0" applyNumberFormat="1" applyFont="1" applyBorder="1" applyAlignment="1">
      <alignment horizontal="right"/>
    </xf>
    <xf numFmtId="166" fontId="18" fillId="0" borderId="16" xfId="0" applyNumberFormat="1" applyFont="1" applyBorder="1" applyAlignment="1">
      <alignment horizontal="right"/>
    </xf>
    <xf numFmtId="166" fontId="18" fillId="0" borderId="43" xfId="0" applyNumberFormat="1" applyFont="1" applyBorder="1" applyAlignment="1">
      <alignment horizontal="right"/>
    </xf>
    <xf numFmtId="0" fontId="14" fillId="0" borderId="62" xfId="0" applyFont="1" applyBorder="1"/>
    <xf numFmtId="0" fontId="18" fillId="0" borderId="14" xfId="0" applyFont="1" applyBorder="1" applyAlignment="1">
      <alignment horizontal="right"/>
    </xf>
    <xf numFmtId="0" fontId="18" fillId="0" borderId="10" xfId="0" applyFont="1" applyBorder="1" applyAlignment="1">
      <alignment horizontal="right"/>
    </xf>
    <xf numFmtId="0" fontId="12" fillId="0" borderId="62" xfId="0" applyFont="1" applyBorder="1"/>
    <xf numFmtId="167" fontId="18" fillId="0" borderId="62" xfId="0" applyNumberFormat="1" applyFont="1" applyBorder="1" applyAlignment="1">
      <alignment horizontal="right"/>
    </xf>
    <xf numFmtId="0" fontId="18" fillId="0" borderId="17" xfId="0" applyFont="1" applyBorder="1"/>
    <xf numFmtId="166" fontId="18" fillId="0" borderId="25" xfId="0" applyNumberFormat="1" applyFont="1" applyBorder="1"/>
    <xf numFmtId="166" fontId="18" fillId="0" borderId="17" xfId="0" applyNumberFormat="1" applyFont="1" applyBorder="1"/>
    <xf numFmtId="166" fontId="18" fillId="0" borderId="17" xfId="0" applyNumberFormat="1" applyFont="1" applyBorder="1" applyAlignment="1">
      <alignment horizontal="right"/>
    </xf>
    <xf numFmtId="0" fontId="14" fillId="0" borderId="65" xfId="0" applyFont="1" applyBorder="1"/>
    <xf numFmtId="167" fontId="18" fillId="0" borderId="43" xfId="0" applyNumberFormat="1" applyFont="1" applyBorder="1" applyAlignment="1">
      <alignment horizontal="right"/>
    </xf>
    <xf numFmtId="0" fontId="18" fillId="0" borderId="42" xfId="0" applyFont="1" applyBorder="1" applyAlignment="1">
      <alignment horizontal="center"/>
    </xf>
    <xf numFmtId="0" fontId="18" fillId="0" borderId="29" xfId="0" applyFont="1" applyBorder="1"/>
    <xf numFmtId="166" fontId="18" fillId="0" borderId="11" xfId="0" applyNumberFormat="1" applyFont="1" applyBorder="1"/>
    <xf numFmtId="166" fontId="18" fillId="0" borderId="42" xfId="0" applyNumberFormat="1" applyFont="1" applyBorder="1"/>
    <xf numFmtId="166" fontId="18" fillId="0" borderId="30" xfId="0" applyNumberFormat="1" applyFont="1" applyBorder="1"/>
    <xf numFmtId="166" fontId="18" fillId="0" borderId="29" xfId="0" applyNumberFormat="1" applyFont="1" applyBorder="1" applyAlignment="1">
      <alignment horizontal="right"/>
    </xf>
    <xf numFmtId="0" fontId="18" fillId="0" borderId="11" xfId="0" applyFont="1" applyBorder="1"/>
    <xf numFmtId="0" fontId="18" fillId="0" borderId="30" xfId="0" applyFont="1" applyBorder="1" applyAlignment="1">
      <alignment horizontal="right"/>
    </xf>
    <xf numFmtId="0" fontId="18" fillId="0" borderId="29" xfId="0" applyFont="1" applyBorder="1" applyAlignment="1">
      <alignment horizontal="right"/>
    </xf>
    <xf numFmtId="169" fontId="18" fillId="0" borderId="22" xfId="0" applyNumberFormat="1" applyFont="1" applyBorder="1" applyAlignment="1">
      <alignment horizontal="right"/>
    </xf>
    <xf numFmtId="0" fontId="14" fillId="0" borderId="66" xfId="0" applyFont="1" applyBorder="1"/>
    <xf numFmtId="168" fontId="18" fillId="0" borderId="62" xfId="0" applyNumberFormat="1" applyFont="1" applyBorder="1" applyAlignment="1">
      <alignment horizontal="right"/>
    </xf>
    <xf numFmtId="168" fontId="18" fillId="0" borderId="43" xfId="0" applyNumberFormat="1" applyFont="1" applyBorder="1" applyAlignment="1">
      <alignment horizontal="right"/>
    </xf>
    <xf numFmtId="0" fontId="18" fillId="0" borderId="62" xfId="0" applyFont="1" applyBorder="1"/>
    <xf numFmtId="166" fontId="18" fillId="0" borderId="18" xfId="0" applyNumberFormat="1" applyFont="1" applyBorder="1"/>
    <xf numFmtId="0" fontId="18" fillId="0" borderId="18" xfId="0" applyFont="1" applyBorder="1"/>
    <xf numFmtId="0" fontId="18" fillId="0" borderId="17" xfId="0" applyFont="1" applyBorder="1" applyAlignment="1">
      <alignment horizontal="right"/>
    </xf>
    <xf numFmtId="0" fontId="12" fillId="0" borderId="65" xfId="0" applyFont="1" applyBorder="1"/>
    <xf numFmtId="167" fontId="18" fillId="0" borderId="49" xfId="0" applyNumberFormat="1" applyFont="1" applyBorder="1"/>
    <xf numFmtId="0" fontId="12" fillId="0" borderId="67" xfId="0" applyFont="1" applyBorder="1"/>
    <xf numFmtId="166" fontId="22" fillId="0" borderId="18" xfId="0" applyNumberFormat="1" applyFont="1" applyBorder="1"/>
    <xf numFmtId="166" fontId="22" fillId="0" borderId="24" xfId="0" applyNumberFormat="1" applyFont="1" applyBorder="1"/>
    <xf numFmtId="0" fontId="22" fillId="0" borderId="18" xfId="0" applyFont="1" applyBorder="1"/>
    <xf numFmtId="0" fontId="22" fillId="0" borderId="16" xfId="0" applyFont="1" applyBorder="1"/>
    <xf numFmtId="166" fontId="22" fillId="0" borderId="43" xfId="0" applyNumberFormat="1" applyFont="1" applyBorder="1"/>
    <xf numFmtId="0" fontId="22" fillId="0" borderId="17" xfId="0" applyFont="1" applyBorder="1"/>
    <xf numFmtId="0" fontId="22" fillId="0" borderId="22" xfId="0" applyFont="1" applyBorder="1"/>
    <xf numFmtId="166" fontId="22" fillId="0" borderId="62" xfId="0" applyNumberFormat="1" applyFont="1" applyBorder="1"/>
    <xf numFmtId="166" fontId="22" fillId="0" borderId="22" xfId="0" applyNumberFormat="1" applyFont="1" applyBorder="1"/>
    <xf numFmtId="166" fontId="22" fillId="0" borderId="16" xfId="0" applyNumberFormat="1" applyFont="1" applyBorder="1"/>
    <xf numFmtId="167" fontId="23" fillId="0" borderId="49" xfId="0" applyNumberFormat="1" applyFont="1" applyBorder="1"/>
    <xf numFmtId="166" fontId="23" fillId="0" borderId="18" xfId="0" applyNumberFormat="1" applyFont="1" applyBorder="1"/>
    <xf numFmtId="166" fontId="23" fillId="0" borderId="24" xfId="0" applyNumberFormat="1" applyFont="1" applyBorder="1"/>
    <xf numFmtId="0" fontId="23" fillId="0" borderId="18" xfId="0" applyFont="1" applyBorder="1"/>
    <xf numFmtId="0" fontId="23" fillId="0" borderId="16" xfId="0" applyFont="1" applyBorder="1"/>
    <xf numFmtId="166" fontId="23" fillId="0" borderId="43" xfId="0" applyNumberFormat="1" applyFont="1" applyBorder="1"/>
    <xf numFmtId="0" fontId="23" fillId="0" borderId="17" xfId="0" applyFont="1" applyBorder="1"/>
    <xf numFmtId="0" fontId="23" fillId="0" borderId="22" xfId="0" applyFont="1" applyBorder="1"/>
    <xf numFmtId="166" fontId="23" fillId="0" borderId="62" xfId="0" applyNumberFormat="1" applyFont="1" applyBorder="1"/>
    <xf numFmtId="166" fontId="23" fillId="0" borderId="22" xfId="0" applyNumberFormat="1" applyFont="1" applyBorder="1"/>
    <xf numFmtId="166" fontId="23" fillId="0" borderId="16" xfId="0" applyNumberFormat="1" applyFont="1" applyBorder="1"/>
    <xf numFmtId="0" fontId="12" fillId="0" borderId="26" xfId="0" applyFont="1" applyBorder="1" applyAlignment="1">
      <alignment horizontal="center"/>
    </xf>
    <xf numFmtId="167" fontId="12" fillId="0" borderId="49" xfId="0" applyNumberFormat="1" applyFont="1" applyBorder="1"/>
    <xf numFmtId="0" fontId="12" fillId="0" borderId="68" xfId="0" applyFont="1" applyBorder="1" applyAlignment="1">
      <alignment horizontal="center"/>
    </xf>
    <xf numFmtId="0" fontId="12" fillId="0" borderId="49" xfId="0" applyFont="1" applyBorder="1"/>
    <xf numFmtId="166" fontId="12" fillId="0" borderId="12" xfId="0" applyNumberFormat="1" applyFont="1" applyBorder="1"/>
    <xf numFmtId="166" fontId="12" fillId="0" borderId="69" xfId="0" applyNumberFormat="1" applyFont="1" applyBorder="1"/>
    <xf numFmtId="0" fontId="12" fillId="0" borderId="12" xfId="0" applyFont="1" applyBorder="1"/>
    <xf numFmtId="0" fontId="12" fillId="0" borderId="10" xfId="0" applyFont="1" applyBorder="1"/>
    <xf numFmtId="0" fontId="12" fillId="0" borderId="70" xfId="0" applyFont="1" applyBorder="1" applyAlignment="1">
      <alignment horizontal="right"/>
    </xf>
    <xf numFmtId="0" fontId="12" fillId="0" borderId="10" xfId="0" applyFont="1" applyBorder="1" applyAlignment="1">
      <alignment horizontal="right"/>
    </xf>
    <xf numFmtId="0" fontId="12" fillId="4" borderId="67" xfId="0" applyFont="1" applyFill="1" applyBorder="1"/>
    <xf numFmtId="0" fontId="12" fillId="0" borderId="71" xfId="0" applyFont="1" applyBorder="1" applyAlignment="1">
      <alignment horizontal="right"/>
    </xf>
    <xf numFmtId="166" fontId="12" fillId="0" borderId="71" xfId="0" applyNumberFormat="1" applyFont="1" applyBorder="1" applyAlignment="1">
      <alignment horizontal="right"/>
    </xf>
    <xf numFmtId="0" fontId="12" fillId="0" borderId="72" xfId="0" applyFont="1" applyBorder="1" applyAlignment="1">
      <alignment horizontal="right"/>
    </xf>
    <xf numFmtId="0" fontId="12" fillId="0" borderId="73" xfId="0" applyFont="1" applyBorder="1" applyAlignment="1">
      <alignment horizontal="right"/>
    </xf>
    <xf numFmtId="0" fontId="12" fillId="0" borderId="12" xfId="0" applyFont="1" applyBorder="1" applyAlignment="1">
      <alignment horizontal="right"/>
    </xf>
    <xf numFmtId="166" fontId="12" fillId="0" borderId="12" xfId="0" applyNumberFormat="1" applyFont="1" applyBorder="1" applyAlignment="1">
      <alignment horizontal="right"/>
    </xf>
    <xf numFmtId="0" fontId="12" fillId="0" borderId="14" xfId="0" applyFont="1" applyBorder="1" applyAlignment="1">
      <alignment horizontal="right"/>
    </xf>
    <xf numFmtId="166" fontId="12" fillId="0" borderId="74" xfId="0" applyNumberFormat="1" applyFont="1" applyBorder="1" applyAlignment="1">
      <alignment horizontal="right"/>
    </xf>
    <xf numFmtId="0" fontId="12" fillId="0" borderId="50" xfId="0" applyFont="1" applyBorder="1" applyAlignment="1">
      <alignment horizontal="right"/>
    </xf>
    <xf numFmtId="0" fontId="12" fillId="0" borderId="23" xfId="0" applyFont="1" applyBorder="1" applyAlignment="1">
      <alignment horizontal="right"/>
    </xf>
    <xf numFmtId="0" fontId="14" fillId="0" borderId="23" xfId="0" applyFont="1" applyBorder="1" applyAlignment="1">
      <alignment horizontal="right"/>
    </xf>
    <xf numFmtId="166" fontId="12" fillId="0" borderId="23" xfId="0" applyNumberFormat="1" applyFont="1" applyBorder="1" applyAlignment="1">
      <alignment horizontal="right"/>
    </xf>
    <xf numFmtId="166" fontId="14" fillId="0" borderId="44" xfId="0" applyNumberFormat="1" applyFont="1" applyBorder="1" applyAlignment="1">
      <alignment horizontal="right"/>
    </xf>
    <xf numFmtId="166" fontId="12" fillId="0" borderId="53" xfId="0" applyNumberFormat="1" applyFont="1" applyBorder="1" applyAlignment="1">
      <alignment horizontal="right"/>
    </xf>
    <xf numFmtId="0" fontId="12" fillId="0" borderId="56" xfId="0" applyFont="1" applyBorder="1"/>
    <xf numFmtId="166" fontId="12" fillId="0" borderId="75" xfId="0" applyNumberFormat="1" applyFont="1" applyBorder="1" applyAlignment="1">
      <alignment horizontal="right"/>
    </xf>
    <xf numFmtId="166" fontId="12" fillId="0" borderId="76" xfId="0" applyNumberFormat="1" applyFont="1" applyBorder="1" applyAlignment="1">
      <alignment horizontal="right"/>
    </xf>
    <xf numFmtId="166" fontId="12" fillId="0" borderId="77" xfId="0" applyNumberFormat="1" applyFont="1" applyBorder="1" applyAlignment="1">
      <alignment horizontal="right"/>
    </xf>
    <xf numFmtId="166" fontId="12" fillId="0" borderId="78" xfId="0" applyNumberFormat="1" applyFont="1" applyBorder="1" applyAlignment="1">
      <alignment horizontal="right"/>
    </xf>
    <xf numFmtId="166" fontId="12" fillId="0" borderId="56" xfId="0" applyNumberFormat="1" applyFont="1" applyBorder="1"/>
    <xf numFmtId="166" fontId="12" fillId="0" borderId="77" xfId="0" applyNumberFormat="1" applyFont="1" applyBorder="1"/>
    <xf numFmtId="166" fontId="12" fillId="0" borderId="79" xfId="0" applyNumberFormat="1" applyFont="1" applyBorder="1"/>
    <xf numFmtId="166" fontId="12" fillId="0" borderId="53" xfId="0" applyNumberFormat="1" applyFont="1" applyBorder="1"/>
    <xf numFmtId="0" fontId="12" fillId="4" borderId="59" xfId="0" applyFont="1" applyFill="1" applyBorder="1"/>
    <xf numFmtId="166" fontId="12" fillId="0" borderId="80" xfId="0" applyNumberFormat="1" applyFont="1" applyBorder="1"/>
    <xf numFmtId="0" fontId="12" fillId="0" borderId="6" xfId="0" applyFont="1" applyBorder="1"/>
    <xf numFmtId="166" fontId="12" fillId="0" borderId="20" xfId="0" applyNumberFormat="1" applyFont="1" applyBorder="1"/>
    <xf numFmtId="0" fontId="12" fillId="0" borderId="5" xfId="0" applyFont="1" applyBorder="1"/>
    <xf numFmtId="0" fontId="12" fillId="0" borderId="53" xfId="0" applyFont="1" applyBorder="1"/>
    <xf numFmtId="0" fontId="12" fillId="0" borderId="20" xfId="0" applyFont="1" applyBorder="1"/>
    <xf numFmtId="0" fontId="12" fillId="0" borderId="21" xfId="0" applyFont="1" applyBorder="1"/>
    <xf numFmtId="0" fontId="12" fillId="0" borderId="79" xfId="0" applyFont="1" applyBorder="1"/>
    <xf numFmtId="0" fontId="12" fillId="0" borderId="78" xfId="0" applyFont="1" applyBorder="1"/>
    <xf numFmtId="166" fontId="12" fillId="0" borderId="75" xfId="0" applyNumberFormat="1" applyFont="1" applyBorder="1"/>
    <xf numFmtId="166" fontId="12" fillId="0" borderId="78" xfId="0" applyNumberFormat="1" applyFont="1" applyBorder="1"/>
    <xf numFmtId="0" fontId="12" fillId="0" borderId="0" xfId="0" applyFont="1"/>
    <xf numFmtId="0" fontId="12" fillId="0" borderId="0" xfId="0" applyFont="1" applyAlignment="1">
      <alignment horizontal="center"/>
    </xf>
    <xf numFmtId="166" fontId="12" fillId="0" borderId="0" xfId="0" applyNumberFormat="1" applyFont="1"/>
    <xf numFmtId="0" fontId="12" fillId="0" borderId="11" xfId="0" applyFont="1" applyBorder="1" applyAlignment="1">
      <alignment horizontal="left"/>
    </xf>
    <xf numFmtId="0" fontId="12" fillId="0" borderId="19" xfId="0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166" fontId="10" fillId="0" borderId="24" xfId="0" applyNumberFormat="1" applyFont="1" applyBorder="1"/>
    <xf numFmtId="166" fontId="24" fillId="0" borderId="24" xfId="0" applyNumberFormat="1" applyFont="1" applyBorder="1"/>
    <xf numFmtId="0" fontId="12" fillId="0" borderId="81" xfId="0" applyFont="1" applyBorder="1" applyAlignment="1">
      <alignment horizontal="left"/>
    </xf>
    <xf numFmtId="0" fontId="10" fillId="0" borderId="10" xfId="0" applyFont="1" applyBorder="1" applyAlignment="1">
      <alignment horizontal="center"/>
    </xf>
    <xf numFmtId="0" fontId="12" fillId="0" borderId="70" xfId="0" applyFont="1" applyBorder="1"/>
    <xf numFmtId="0" fontId="11" fillId="0" borderId="0" xfId="0" applyFont="1" applyAlignment="1">
      <alignment horizontal="center"/>
    </xf>
    <xf numFmtId="0" fontId="25" fillId="0" borderId="73" xfId="0" applyFont="1" applyBorder="1"/>
    <xf numFmtId="0" fontId="25" fillId="0" borderId="71" xfId="0" applyFont="1" applyBorder="1"/>
    <xf numFmtId="0" fontId="26" fillId="0" borderId="73" xfId="0" applyFont="1" applyBorder="1" applyAlignment="1">
      <alignment horizontal="right"/>
    </xf>
    <xf numFmtId="0" fontId="27" fillId="0" borderId="0" xfId="0" applyFont="1"/>
    <xf numFmtId="166" fontId="27" fillId="0" borderId="71" xfId="0" applyNumberFormat="1" applyFont="1" applyBorder="1"/>
    <xf numFmtId="0" fontId="28" fillId="0" borderId="73" xfId="0" applyFont="1" applyBorder="1" applyAlignment="1">
      <alignment horizontal="right"/>
    </xf>
    <xf numFmtId="0" fontId="29" fillId="0" borderId="0" xfId="0" applyFont="1"/>
    <xf numFmtId="166" fontId="29" fillId="0" borderId="71" xfId="0" applyNumberFormat="1" applyFont="1" applyBorder="1"/>
    <xf numFmtId="0" fontId="10" fillId="0" borderId="73" xfId="0" applyFont="1" applyBorder="1" applyAlignment="1">
      <alignment horizontal="right"/>
    </xf>
    <xf numFmtId="166" fontId="12" fillId="0" borderId="71" xfId="0" applyNumberFormat="1" applyFont="1" applyBorder="1"/>
    <xf numFmtId="0" fontId="10" fillId="0" borderId="28" xfId="0" applyFont="1" applyBorder="1" applyAlignment="1">
      <alignment horizontal="right"/>
    </xf>
    <xf numFmtId="0" fontId="12" fillId="0" borderId="29" xfId="0" applyFont="1" applyBorder="1"/>
    <xf numFmtId="166" fontId="12" fillId="0" borderId="30" xfId="0" applyNumberFormat="1" applyFont="1" applyBorder="1"/>
    <xf numFmtId="0" fontId="10" fillId="0" borderId="1" xfId="0" applyFont="1" applyBorder="1" applyAlignment="1">
      <alignment horizontal="center" vertical="center"/>
    </xf>
    <xf numFmtId="0" fontId="9" fillId="0" borderId="32" xfId="0" applyFont="1" applyBorder="1"/>
    <xf numFmtId="0" fontId="10" fillId="0" borderId="35" xfId="0" applyFont="1" applyBorder="1" applyAlignment="1">
      <alignment horizontal="center" vertical="center"/>
    </xf>
    <xf numFmtId="0" fontId="9" fillId="0" borderId="40" xfId="0" applyFont="1" applyBorder="1"/>
    <xf numFmtId="0" fontId="10" fillId="0" borderId="36" xfId="0" applyFont="1" applyBorder="1" applyAlignment="1">
      <alignment horizontal="center" vertical="center"/>
    </xf>
    <xf numFmtId="0" fontId="9" fillId="0" borderId="33" xfId="0" applyFont="1" applyBorder="1"/>
    <xf numFmtId="0" fontId="9" fillId="0" borderId="36" xfId="0" applyFont="1" applyBorder="1"/>
    <xf numFmtId="0" fontId="9" fillId="0" borderId="41" xfId="0" applyFont="1" applyBorder="1"/>
    <xf numFmtId="0" fontId="9" fillId="0" borderId="42" xfId="0" applyFont="1" applyBorder="1"/>
    <xf numFmtId="0" fontId="10" fillId="0" borderId="55" xfId="0" applyFont="1" applyBorder="1" applyAlignment="1">
      <alignment horizontal="left"/>
    </xf>
    <xf numFmtId="0" fontId="9" fillId="0" borderId="57" xfId="0" applyFont="1" applyBorder="1"/>
    <xf numFmtId="0" fontId="10" fillId="2" borderId="35" xfId="0" applyFont="1" applyFill="1" applyBorder="1" applyAlignment="1">
      <alignment horizontal="center" vertical="center" wrapText="1"/>
    </xf>
    <xf numFmtId="0" fontId="9" fillId="0" borderId="53" xfId="0" applyFont="1" applyBorder="1"/>
    <xf numFmtId="0" fontId="12" fillId="3" borderId="46" xfId="0" applyFont="1" applyFill="1" applyBorder="1" applyAlignment="1">
      <alignment horizontal="center" vertical="center" wrapText="1"/>
    </xf>
    <xf numFmtId="0" fontId="9" fillId="0" borderId="54" xfId="0" applyFont="1" applyBorder="1"/>
    <xf numFmtId="0" fontId="9" fillId="0" borderId="43" xfId="0" applyFont="1" applyBorder="1"/>
    <xf numFmtId="0" fontId="10" fillId="0" borderId="37" xfId="0" applyFont="1" applyBorder="1" applyAlignment="1">
      <alignment horizontal="center" vertical="center" wrapText="1"/>
    </xf>
    <xf numFmtId="0" fontId="9" fillId="0" borderId="38" xfId="0" applyFont="1" applyBorder="1"/>
    <xf numFmtId="0" fontId="9" fillId="0" borderId="39" xfId="0" applyFont="1" applyBorder="1"/>
    <xf numFmtId="0" fontId="10" fillId="0" borderId="37" xfId="0" applyFont="1" applyBorder="1" applyAlignment="1">
      <alignment horizontal="center" vertical="center"/>
    </xf>
    <xf numFmtId="0" fontId="5" fillId="0" borderId="28" xfId="0" applyFont="1" applyBorder="1"/>
    <xf numFmtId="0" fontId="9" fillId="0" borderId="29" xfId="0" applyFont="1" applyBorder="1"/>
    <xf numFmtId="0" fontId="9" fillId="0" borderId="30" xfId="0" applyFont="1" applyBorder="1"/>
    <xf numFmtId="0" fontId="5" fillId="0" borderId="0" xfId="0" applyFont="1"/>
    <xf numFmtId="0" fontId="0" fillId="0" borderId="0" xfId="0"/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164" fontId="6" fillId="0" borderId="0" xfId="0" applyNumberFormat="1" applyFont="1" applyAlignment="1">
      <alignment horizontal="left"/>
    </xf>
    <xf numFmtId="0" fontId="6" fillId="0" borderId="10" xfId="0" applyFont="1" applyBorder="1"/>
    <xf numFmtId="0" fontId="9" fillId="0" borderId="12" xfId="0" applyFont="1" applyBorder="1"/>
    <xf numFmtId="0" fontId="9" fillId="0" borderId="5" xfId="0" applyFont="1" applyBorder="1"/>
    <xf numFmtId="0" fontId="9" fillId="0" borderId="20" xfId="0" applyFont="1" applyBorder="1"/>
    <xf numFmtId="0" fontId="5" fillId="0" borderId="14" xfId="0" applyFont="1" applyBorder="1" applyAlignment="1">
      <alignment horizontal="center" wrapText="1"/>
    </xf>
    <xf numFmtId="0" fontId="9" fillId="0" borderId="21" xfId="0" applyFont="1" applyBorder="1"/>
    <xf numFmtId="0" fontId="5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4" fillId="0" borderId="0" xfId="0" applyFont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horizontal="left"/>
    </xf>
    <xf numFmtId="0" fontId="2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 wrapText="1"/>
    </xf>
    <xf numFmtId="0" fontId="9" fillId="0" borderId="25" xfId="0" applyFont="1" applyBorder="1"/>
    <xf numFmtId="0" fontId="4" fillId="0" borderId="26" xfId="0" applyFont="1" applyBorder="1" applyAlignment="1">
      <alignment horizontal="center" wrapText="1"/>
    </xf>
    <xf numFmtId="1" fontId="2" fillId="0" borderId="16" xfId="0" applyNumberFormat="1" applyFont="1" applyBorder="1"/>
    <xf numFmtId="1" fontId="2" fillId="0" borderId="26" xfId="0" applyNumberFormat="1" applyFont="1" applyBorder="1"/>
    <xf numFmtId="1" fontId="2" fillId="0" borderId="51" xfId="0" applyNumberFormat="1" applyFont="1" applyBorder="1"/>
    <xf numFmtId="1" fontId="4" fillId="0" borderId="44" xfId="0" applyNumberFormat="1" applyFont="1" applyBorder="1"/>
    <xf numFmtId="0" fontId="9" fillId="0" borderId="47" xfId="0" applyFont="1" applyBorder="1"/>
    <xf numFmtId="1" fontId="4" fillId="0" borderId="16" xfId="0" applyNumberFormat="1" applyFont="1" applyBorder="1"/>
    <xf numFmtId="1" fontId="4" fillId="0" borderId="48" xfId="0" applyNumberFormat="1" applyFont="1" applyBorder="1"/>
    <xf numFmtId="0" fontId="9" fillId="0" borderId="50" xfId="0" applyFont="1" applyBorder="1"/>
    <xf numFmtId="1" fontId="2" fillId="0" borderId="37" xfId="0" applyNumberFormat="1" applyFont="1" applyBorder="1"/>
    <xf numFmtId="0" fontId="9" fillId="0" borderId="52" xfId="0" applyFont="1" applyBorder="1"/>
    <xf numFmtId="0" fontId="7" fillId="0" borderId="3" xfId="0" applyFont="1" applyBorder="1" applyAlignment="1">
      <alignment horizontal="center" wrapText="1"/>
    </xf>
    <xf numFmtId="0" fontId="9" fillId="0" borderId="6" xfId="0" applyFont="1" applyBorder="1"/>
    <xf numFmtId="0" fontId="35" fillId="0" borderId="41" xfId="0" applyFont="1" applyBorder="1" applyAlignment="1">
      <alignment horizontal="center"/>
    </xf>
    <xf numFmtId="0" fontId="35" fillId="0" borderId="26" xfId="0" applyFont="1" applyBorder="1" applyAlignment="1">
      <alignment horizontal="center"/>
    </xf>
  </cellXfs>
  <cellStyles count="1">
    <cellStyle name="Normální" xfId="0" builtinId="0"/>
  </cellStyles>
  <dxfs count="6"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FFF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men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  <pageSetUpPr fitToPage="1"/>
  </sheetPr>
  <dimension ref="A1:AJ999"/>
  <sheetViews>
    <sheetView tabSelected="1" topLeftCell="A5" zoomScale="115" zoomScaleNormal="115" workbookViewId="0">
      <selection activeCell="E94" sqref="E94"/>
    </sheetView>
  </sheetViews>
  <sheetFormatPr defaultColWidth="12.5703125" defaultRowHeight="15" customHeight="1" x14ac:dyDescent="0.2"/>
  <cols>
    <col min="1" max="1" width="3.7109375" customWidth="1"/>
    <col min="2" max="2" width="10.28515625" customWidth="1"/>
    <col min="3" max="3" width="11.42578125" customWidth="1"/>
    <col min="4" max="4" width="4.42578125" customWidth="1"/>
    <col min="5" max="5" width="34.5703125" customWidth="1"/>
    <col min="6" max="6" width="49.85546875" customWidth="1"/>
    <col min="7" max="7" width="11.140625" hidden="1" customWidth="1"/>
    <col min="8" max="8" width="14.42578125" hidden="1" customWidth="1"/>
    <col min="9" max="9" width="11.140625" hidden="1" customWidth="1"/>
    <col min="10" max="10" width="17" hidden="1" customWidth="1"/>
    <col min="11" max="12" width="11.140625" hidden="1" customWidth="1"/>
    <col min="13" max="13" width="16" customWidth="1"/>
    <col min="14" max="14" width="17" customWidth="1"/>
    <col min="15" max="29" width="11.140625" customWidth="1"/>
    <col min="30" max="30" width="12.5703125" customWidth="1"/>
    <col min="31" max="35" width="11.140625" customWidth="1"/>
    <col min="36" max="36" width="24" hidden="1" customWidth="1"/>
  </cols>
  <sheetData>
    <row r="1" spans="1:36" ht="15" hidden="1" customHeight="1" x14ac:dyDescent="0.2"/>
    <row r="2" spans="1:36" ht="15" hidden="1" customHeight="1" x14ac:dyDescent="0.2"/>
    <row r="3" spans="1:36" ht="15" hidden="1" customHeight="1" x14ac:dyDescent="0.2"/>
    <row r="4" spans="1:36" ht="15" hidden="1" customHeight="1" x14ac:dyDescent="0.2">
      <c r="M4" s="22">
        <f>SUM(M9:M67)</f>
        <v>0</v>
      </c>
      <c r="N4" s="22">
        <f>SUM(N9:N67)</f>
        <v>0</v>
      </c>
      <c r="O4" s="22">
        <f>SUM(O9:O67)</f>
        <v>0</v>
      </c>
      <c r="P4" s="22">
        <f>SUM(P9:P67)</f>
        <v>0</v>
      </c>
      <c r="Q4" s="22">
        <f>SUM(Q9:Q67)</f>
        <v>0</v>
      </c>
      <c r="R4" s="22">
        <f>SUM(R9:R67)</f>
        <v>0</v>
      </c>
      <c r="S4" s="22">
        <f>SUM(S9:S67)</f>
        <v>0</v>
      </c>
      <c r="T4" s="22">
        <f>SUM(T9:T67)</f>
        <v>0</v>
      </c>
      <c r="U4" s="22">
        <f>SUM(U9:U67)</f>
        <v>0</v>
      </c>
      <c r="V4" s="22">
        <f>SUM(V9:V67)</f>
        <v>0</v>
      </c>
      <c r="W4" s="22">
        <f>SUM(W9:W67)</f>
        <v>0</v>
      </c>
      <c r="X4" s="22">
        <f>SUM(X9:X67)</f>
        <v>0</v>
      </c>
      <c r="Y4" s="22">
        <f>SUM(Y9:Y67)</f>
        <v>0</v>
      </c>
      <c r="Z4" s="22">
        <f>SUM(Z9:Z67)</f>
        <v>0</v>
      </c>
      <c r="AA4" s="22">
        <f>SUM(AA9:AA67)</f>
        <v>0</v>
      </c>
      <c r="AB4" s="22">
        <f>SUM(AB9:AB67)</f>
        <v>0</v>
      </c>
      <c r="AC4" s="22">
        <f>SUM(AC9:AC67)</f>
        <v>0</v>
      </c>
      <c r="AD4" s="22">
        <f>SUM(AD9:AD67)</f>
        <v>0</v>
      </c>
      <c r="AE4" s="22">
        <f>SUM(AE9:AE67)</f>
        <v>0</v>
      </c>
      <c r="AF4" s="22">
        <f>SUM(AF9:AF67)</f>
        <v>0</v>
      </c>
      <c r="AG4" s="22">
        <f>SUM(AG9:AG67)</f>
        <v>0</v>
      </c>
      <c r="AH4" s="22">
        <f>SUM(AH9:AH67)</f>
        <v>0</v>
      </c>
    </row>
    <row r="5" spans="1:36" ht="27" customHeight="1" x14ac:dyDescent="0.2">
      <c r="A5" s="329" t="s">
        <v>47</v>
      </c>
      <c r="B5" s="331" t="s">
        <v>50</v>
      </c>
      <c r="C5" s="333" t="s">
        <v>52</v>
      </c>
      <c r="D5" s="333" t="s">
        <v>57</v>
      </c>
      <c r="E5" s="333" t="s">
        <v>58</v>
      </c>
      <c r="F5" s="333" t="s">
        <v>63</v>
      </c>
      <c r="G5" s="329" t="s">
        <v>66</v>
      </c>
      <c r="H5" s="335"/>
      <c r="I5" s="329" t="s">
        <v>69</v>
      </c>
      <c r="J5" s="335"/>
      <c r="K5" s="329" t="s">
        <v>70</v>
      </c>
      <c r="L5" s="335"/>
      <c r="M5" s="331" t="s">
        <v>71</v>
      </c>
      <c r="N5" s="331" t="s">
        <v>72</v>
      </c>
      <c r="O5" s="345" t="s">
        <v>73</v>
      </c>
      <c r="P5" s="346"/>
      <c r="Q5" s="346"/>
      <c r="R5" s="346"/>
      <c r="S5" s="346"/>
      <c r="T5" s="346"/>
      <c r="U5" s="346"/>
      <c r="V5" s="346"/>
      <c r="W5" s="347"/>
      <c r="X5" s="340" t="s">
        <v>76</v>
      </c>
      <c r="Y5" s="348" t="s">
        <v>77</v>
      </c>
      <c r="Z5" s="346"/>
      <c r="AA5" s="346"/>
      <c r="AB5" s="346"/>
      <c r="AC5" s="346"/>
      <c r="AD5" s="346"/>
      <c r="AE5" s="346"/>
      <c r="AF5" s="346"/>
      <c r="AG5" s="346"/>
      <c r="AH5" s="347"/>
      <c r="AI5" s="340" t="s">
        <v>78</v>
      </c>
      <c r="AJ5" s="48"/>
    </row>
    <row r="6" spans="1:36" ht="84" customHeight="1" x14ac:dyDescent="0.25">
      <c r="A6" s="330"/>
      <c r="B6" s="332"/>
      <c r="C6" s="334"/>
      <c r="D6" s="334"/>
      <c r="E6" s="334"/>
      <c r="F6" s="334"/>
      <c r="G6" s="336"/>
      <c r="H6" s="337"/>
      <c r="I6" s="336"/>
      <c r="J6" s="337"/>
      <c r="K6" s="336"/>
      <c r="L6" s="337"/>
      <c r="M6" s="344"/>
      <c r="N6" s="344"/>
      <c r="O6" s="49" t="s">
        <v>46</v>
      </c>
      <c r="P6" s="49" t="s">
        <v>84</v>
      </c>
      <c r="Q6" s="49" t="s">
        <v>85</v>
      </c>
      <c r="R6" s="49" t="s">
        <v>43</v>
      </c>
      <c r="S6" s="49" t="s">
        <v>31</v>
      </c>
      <c r="T6" s="49" t="s">
        <v>82</v>
      </c>
      <c r="U6" s="49" t="s">
        <v>38</v>
      </c>
      <c r="V6" s="49" t="s">
        <v>70</v>
      </c>
      <c r="W6" s="49" t="s">
        <v>86</v>
      </c>
      <c r="X6" s="332"/>
      <c r="Y6" s="49" t="s">
        <v>87</v>
      </c>
      <c r="Z6" s="49" t="s">
        <v>53</v>
      </c>
      <c r="AA6" s="49" t="s">
        <v>89</v>
      </c>
      <c r="AB6" s="49" t="s">
        <v>60</v>
      </c>
      <c r="AC6" s="49" t="s">
        <v>90</v>
      </c>
      <c r="AD6" s="49" t="s">
        <v>91</v>
      </c>
      <c r="AE6" s="49" t="s">
        <v>92</v>
      </c>
      <c r="AF6" s="49" t="s">
        <v>38</v>
      </c>
      <c r="AG6" s="49" t="s">
        <v>70</v>
      </c>
      <c r="AH6" s="49" t="s">
        <v>86</v>
      </c>
      <c r="AI6" s="332"/>
      <c r="AJ6" s="342" t="s">
        <v>93</v>
      </c>
    </row>
    <row r="7" spans="1:36" ht="15.75" customHeight="1" x14ac:dyDescent="0.25">
      <c r="A7" s="330"/>
      <c r="B7" s="332"/>
      <c r="C7" s="334"/>
      <c r="D7" s="334"/>
      <c r="E7" s="334"/>
      <c r="F7" s="334"/>
      <c r="G7" s="52" t="s">
        <v>94</v>
      </c>
      <c r="H7" s="53" t="s">
        <v>95</v>
      </c>
      <c r="I7" s="52" t="s">
        <v>94</v>
      </c>
      <c r="J7" s="53" t="s">
        <v>95</v>
      </c>
      <c r="K7" s="52" t="s">
        <v>94</v>
      </c>
      <c r="L7" s="53" t="s">
        <v>95</v>
      </c>
      <c r="M7" s="56" t="s">
        <v>96</v>
      </c>
      <c r="N7" s="56" t="s">
        <v>97</v>
      </c>
      <c r="O7" s="57" t="s">
        <v>98</v>
      </c>
      <c r="P7" s="57" t="s">
        <v>99</v>
      </c>
      <c r="Q7" s="57" t="s">
        <v>100</v>
      </c>
      <c r="R7" s="57" t="s">
        <v>100</v>
      </c>
      <c r="S7" s="57" t="s">
        <v>101</v>
      </c>
      <c r="T7" s="57" t="s">
        <v>100</v>
      </c>
      <c r="U7" s="57" t="s">
        <v>100</v>
      </c>
      <c r="V7" s="57" t="s">
        <v>103</v>
      </c>
      <c r="W7" s="57" t="s">
        <v>100</v>
      </c>
      <c r="X7" s="341"/>
      <c r="Y7" s="57" t="s">
        <v>105</v>
      </c>
      <c r="Z7" s="57">
        <v>12</v>
      </c>
      <c r="AA7" s="57" t="s">
        <v>106</v>
      </c>
      <c r="AB7" s="57" t="s">
        <v>107</v>
      </c>
      <c r="AC7" s="57" t="s">
        <v>108</v>
      </c>
      <c r="AD7" s="57" t="s">
        <v>109</v>
      </c>
      <c r="AE7" s="57" t="s">
        <v>110</v>
      </c>
      <c r="AF7" s="57" t="s">
        <v>107</v>
      </c>
      <c r="AG7" s="57" t="s">
        <v>111</v>
      </c>
      <c r="AH7" s="57" t="s">
        <v>107</v>
      </c>
      <c r="AI7" s="341"/>
      <c r="AJ7" s="343"/>
    </row>
    <row r="8" spans="1:36" ht="15.75" customHeight="1" x14ac:dyDescent="0.25">
      <c r="A8" s="61">
        <v>1</v>
      </c>
      <c r="B8" s="63">
        <v>2</v>
      </c>
      <c r="C8" s="64">
        <v>3</v>
      </c>
      <c r="D8" s="64">
        <v>4</v>
      </c>
      <c r="E8" s="64">
        <v>5</v>
      </c>
      <c r="F8" s="64">
        <v>6</v>
      </c>
      <c r="G8" s="64">
        <v>7</v>
      </c>
      <c r="H8" s="64">
        <v>8</v>
      </c>
      <c r="I8" s="64">
        <v>9</v>
      </c>
      <c r="J8" s="64">
        <v>10</v>
      </c>
      <c r="K8" s="64">
        <v>11</v>
      </c>
      <c r="L8" s="64">
        <v>12</v>
      </c>
      <c r="M8" s="65">
        <v>7</v>
      </c>
      <c r="N8" s="68">
        <v>8</v>
      </c>
      <c r="O8" s="63">
        <v>9</v>
      </c>
      <c r="P8" s="64">
        <v>10</v>
      </c>
      <c r="Q8" s="64">
        <v>11</v>
      </c>
      <c r="R8" s="64">
        <v>12</v>
      </c>
      <c r="S8" s="64">
        <v>13</v>
      </c>
      <c r="T8" s="64">
        <v>14</v>
      </c>
      <c r="U8" s="64">
        <v>15</v>
      </c>
      <c r="V8" s="64">
        <v>16</v>
      </c>
      <c r="W8" s="64">
        <v>17</v>
      </c>
      <c r="X8" s="64">
        <v>18</v>
      </c>
      <c r="Y8" s="64">
        <v>19</v>
      </c>
      <c r="Z8" s="64">
        <v>20</v>
      </c>
      <c r="AA8" s="64">
        <v>21</v>
      </c>
      <c r="AB8" s="64">
        <v>22</v>
      </c>
      <c r="AC8" s="64">
        <v>23</v>
      </c>
      <c r="AD8" s="64">
        <v>24</v>
      </c>
      <c r="AE8" s="64">
        <v>25</v>
      </c>
      <c r="AF8" s="64">
        <v>26</v>
      </c>
      <c r="AG8" s="64">
        <v>27</v>
      </c>
      <c r="AH8" s="64">
        <v>28</v>
      </c>
      <c r="AI8" s="64">
        <v>29</v>
      </c>
      <c r="AJ8" s="69">
        <v>44</v>
      </c>
    </row>
    <row r="9" spans="1:36" ht="15.75" customHeight="1" x14ac:dyDescent="0.25">
      <c r="A9" s="386">
        <v>1</v>
      </c>
      <c r="B9" s="70"/>
      <c r="C9" s="71"/>
      <c r="D9" s="72"/>
      <c r="E9" s="71"/>
      <c r="F9" s="73"/>
      <c r="G9" s="74"/>
      <c r="H9" s="76"/>
      <c r="I9" s="77"/>
      <c r="J9" s="76"/>
      <c r="K9" s="79"/>
      <c r="L9" s="80"/>
      <c r="M9" s="81"/>
      <c r="N9" s="82"/>
      <c r="O9" s="83"/>
      <c r="P9" s="83"/>
      <c r="Q9" s="84"/>
      <c r="R9" s="84"/>
      <c r="S9" s="85"/>
      <c r="T9" s="85"/>
      <c r="U9" s="85"/>
      <c r="V9" s="85"/>
      <c r="W9" s="85"/>
      <c r="X9" s="86"/>
      <c r="Y9" s="83"/>
      <c r="Z9" s="84"/>
      <c r="AA9" s="84"/>
      <c r="AB9" s="84"/>
      <c r="AC9" s="84"/>
      <c r="AD9" s="84"/>
      <c r="AE9" s="84"/>
      <c r="AF9" s="84"/>
      <c r="AG9" s="87"/>
      <c r="AH9" s="88"/>
      <c r="AI9" s="86"/>
      <c r="AJ9" s="89"/>
    </row>
    <row r="10" spans="1:36" ht="15.75" customHeight="1" x14ac:dyDescent="0.25">
      <c r="A10" s="387">
        <v>2</v>
      </c>
      <c r="B10" s="91"/>
      <c r="C10" s="92"/>
      <c r="D10" s="93"/>
      <c r="E10" s="93"/>
      <c r="F10" s="94"/>
      <c r="G10" s="95"/>
      <c r="H10" s="96"/>
      <c r="I10" s="98"/>
      <c r="J10" s="99"/>
      <c r="K10" s="100"/>
      <c r="L10" s="101"/>
      <c r="M10" s="103"/>
      <c r="N10" s="103"/>
      <c r="O10" s="104"/>
      <c r="P10" s="104"/>
      <c r="Q10" s="105"/>
      <c r="R10" s="105"/>
      <c r="S10" s="106"/>
      <c r="T10" s="106"/>
      <c r="U10" s="106"/>
      <c r="V10" s="106"/>
      <c r="W10" s="106"/>
      <c r="X10" s="107"/>
      <c r="Y10" s="104"/>
      <c r="Z10" s="105"/>
      <c r="AA10" s="105"/>
      <c r="AB10" s="108"/>
      <c r="AC10" s="105"/>
      <c r="AD10" s="105"/>
      <c r="AE10" s="105"/>
      <c r="AF10" s="105"/>
      <c r="AG10" s="108"/>
      <c r="AH10" s="109"/>
      <c r="AI10" s="110"/>
      <c r="AJ10" s="111" t="s">
        <v>119</v>
      </c>
    </row>
    <row r="11" spans="1:36" ht="15.75" customHeight="1" x14ac:dyDescent="0.25">
      <c r="A11" s="387">
        <v>3</v>
      </c>
      <c r="B11" s="91"/>
      <c r="C11" s="92"/>
      <c r="D11" s="93"/>
      <c r="E11" s="93"/>
      <c r="F11" s="94"/>
      <c r="G11" s="95"/>
      <c r="H11" s="96"/>
      <c r="I11" s="98"/>
      <c r="J11" s="99"/>
      <c r="K11" s="100"/>
      <c r="L11" s="101"/>
      <c r="M11" s="103"/>
      <c r="N11" s="103"/>
      <c r="O11" s="104"/>
      <c r="P11" s="104"/>
      <c r="Q11" s="105"/>
      <c r="R11" s="105"/>
      <c r="S11" s="106"/>
      <c r="T11" s="106"/>
      <c r="U11" s="106"/>
      <c r="V11" s="106"/>
      <c r="W11" s="106"/>
      <c r="X11" s="107"/>
      <c r="Y11" s="104"/>
      <c r="Z11" s="108"/>
      <c r="AA11" s="105"/>
      <c r="AB11" s="108"/>
      <c r="AC11" s="105"/>
      <c r="AD11" s="105"/>
      <c r="AE11" s="105"/>
      <c r="AF11" s="105"/>
      <c r="AG11" s="108"/>
      <c r="AH11" s="109"/>
      <c r="AI11" s="110"/>
      <c r="AJ11" s="111" t="s">
        <v>120</v>
      </c>
    </row>
    <row r="12" spans="1:36" ht="15.75" customHeight="1" x14ac:dyDescent="0.25">
      <c r="A12" s="387">
        <v>4</v>
      </c>
      <c r="B12" s="91"/>
      <c r="C12" s="92"/>
      <c r="D12" s="93"/>
      <c r="E12" s="93"/>
      <c r="F12" s="94"/>
      <c r="G12" s="95"/>
      <c r="H12" s="96"/>
      <c r="I12" s="98"/>
      <c r="J12" s="99"/>
      <c r="K12" s="100"/>
      <c r="L12" s="101"/>
      <c r="M12" s="103"/>
      <c r="N12" s="103"/>
      <c r="O12" s="104"/>
      <c r="P12" s="104"/>
      <c r="Q12" s="105"/>
      <c r="R12" s="105"/>
      <c r="S12" s="106"/>
      <c r="T12" s="106"/>
      <c r="U12" s="106"/>
      <c r="V12" s="106"/>
      <c r="W12" s="106"/>
      <c r="X12" s="107"/>
      <c r="Y12" s="104"/>
      <c r="Z12" s="105"/>
      <c r="AA12" s="105"/>
      <c r="AB12" s="108"/>
      <c r="AC12" s="105"/>
      <c r="AD12" s="105"/>
      <c r="AE12" s="105"/>
      <c r="AF12" s="108"/>
      <c r="AG12" s="108"/>
      <c r="AH12" s="109"/>
      <c r="AI12" s="110"/>
      <c r="AJ12" s="112" t="s">
        <v>121</v>
      </c>
    </row>
    <row r="13" spans="1:36" ht="15.75" customHeight="1" x14ac:dyDescent="0.25">
      <c r="A13" s="387">
        <v>5</v>
      </c>
      <c r="B13" s="91"/>
      <c r="C13" s="92"/>
      <c r="D13" s="93"/>
      <c r="E13" s="93"/>
      <c r="F13" s="94"/>
      <c r="G13" s="95"/>
      <c r="H13" s="96"/>
      <c r="I13" s="98"/>
      <c r="J13" s="99"/>
      <c r="K13" s="100"/>
      <c r="L13" s="101"/>
      <c r="M13" s="103"/>
      <c r="N13" s="103"/>
      <c r="O13" s="104"/>
      <c r="P13" s="104"/>
      <c r="Q13" s="105"/>
      <c r="R13" s="105"/>
      <c r="S13" s="106"/>
      <c r="T13" s="106"/>
      <c r="U13" s="106"/>
      <c r="V13" s="106"/>
      <c r="W13" s="106"/>
      <c r="X13" s="107"/>
      <c r="Y13" s="104"/>
      <c r="Z13" s="105"/>
      <c r="AA13" s="105"/>
      <c r="AB13" s="108"/>
      <c r="AC13" s="105"/>
      <c r="AD13" s="105"/>
      <c r="AE13" s="105"/>
      <c r="AF13" s="105"/>
      <c r="AG13" s="108"/>
      <c r="AH13" s="109"/>
      <c r="AI13" s="110"/>
      <c r="AJ13" s="111" t="s">
        <v>122</v>
      </c>
    </row>
    <row r="14" spans="1:36" ht="15.75" customHeight="1" x14ac:dyDescent="0.25">
      <c r="A14" s="387">
        <v>6</v>
      </c>
      <c r="B14" s="91"/>
      <c r="C14" s="92"/>
      <c r="D14" s="93"/>
      <c r="E14" s="93"/>
      <c r="F14" s="94"/>
      <c r="G14" s="95"/>
      <c r="H14" s="96"/>
      <c r="I14" s="98"/>
      <c r="J14" s="99"/>
      <c r="K14" s="100"/>
      <c r="L14" s="101"/>
      <c r="M14" s="103"/>
      <c r="N14" s="103"/>
      <c r="O14" s="104"/>
      <c r="P14" s="104"/>
      <c r="Q14" s="105"/>
      <c r="R14" s="105"/>
      <c r="S14" s="106"/>
      <c r="T14" s="106"/>
      <c r="U14" s="106"/>
      <c r="V14" s="106"/>
      <c r="W14" s="106"/>
      <c r="X14" s="107"/>
      <c r="Y14" s="104"/>
      <c r="Z14" s="108"/>
      <c r="AA14" s="105"/>
      <c r="AB14" s="108"/>
      <c r="AC14" s="105"/>
      <c r="AD14" s="105"/>
      <c r="AE14" s="105"/>
      <c r="AF14" s="105"/>
      <c r="AG14" s="108"/>
      <c r="AH14" s="109"/>
      <c r="AI14" s="110"/>
      <c r="AJ14" s="112" t="s">
        <v>123</v>
      </c>
    </row>
    <row r="15" spans="1:36" ht="15.75" customHeight="1" x14ac:dyDescent="0.25">
      <c r="A15" s="387">
        <v>7</v>
      </c>
      <c r="B15" s="91"/>
      <c r="C15" s="92"/>
      <c r="D15" s="93"/>
      <c r="E15" s="93"/>
      <c r="F15" s="94"/>
      <c r="G15" s="95"/>
      <c r="H15" s="99"/>
      <c r="I15" s="98"/>
      <c r="J15" s="96"/>
      <c r="K15" s="100"/>
      <c r="L15" s="101"/>
      <c r="M15" s="103"/>
      <c r="N15" s="103"/>
      <c r="O15" s="104"/>
      <c r="P15" s="104"/>
      <c r="Q15" s="105"/>
      <c r="R15" s="105"/>
      <c r="S15" s="106"/>
      <c r="T15" s="106"/>
      <c r="U15" s="106"/>
      <c r="V15" s="106"/>
      <c r="W15" s="106"/>
      <c r="X15" s="107"/>
      <c r="Y15" s="104"/>
      <c r="Z15" s="108"/>
      <c r="AA15" s="105"/>
      <c r="AB15" s="108"/>
      <c r="AC15" s="105"/>
      <c r="AD15" s="105"/>
      <c r="AE15" s="105"/>
      <c r="AF15" s="105"/>
      <c r="AG15" s="108"/>
      <c r="AH15" s="109"/>
      <c r="AI15" s="110"/>
      <c r="AJ15" s="111" t="s">
        <v>124</v>
      </c>
    </row>
    <row r="16" spans="1:36" ht="15.75" customHeight="1" x14ac:dyDescent="0.25">
      <c r="A16" s="387">
        <v>8</v>
      </c>
      <c r="B16" s="91"/>
      <c r="C16" s="92"/>
      <c r="D16" s="93"/>
      <c r="E16" s="93"/>
      <c r="F16" s="94"/>
      <c r="G16" s="95"/>
      <c r="H16" s="96"/>
      <c r="I16" s="98"/>
      <c r="J16" s="99"/>
      <c r="K16" s="100"/>
      <c r="L16" s="101"/>
      <c r="M16" s="103"/>
      <c r="N16" s="103"/>
      <c r="O16" s="104"/>
      <c r="P16" s="104"/>
      <c r="Q16" s="105"/>
      <c r="R16" s="105"/>
      <c r="S16" s="106"/>
      <c r="T16" s="106"/>
      <c r="U16" s="106"/>
      <c r="V16" s="106"/>
      <c r="W16" s="106"/>
      <c r="X16" s="107"/>
      <c r="Y16" s="104"/>
      <c r="Z16" s="105"/>
      <c r="AA16" s="105"/>
      <c r="AB16" s="108"/>
      <c r="AC16" s="105"/>
      <c r="AD16" s="105"/>
      <c r="AE16" s="105"/>
      <c r="AF16" s="105"/>
      <c r="AG16" s="108"/>
      <c r="AH16" s="109"/>
      <c r="AI16" s="110"/>
      <c r="AJ16" s="112" t="s">
        <v>125</v>
      </c>
    </row>
    <row r="17" spans="1:36" ht="15.75" customHeight="1" x14ac:dyDescent="0.25">
      <c r="A17" s="387">
        <v>9</v>
      </c>
      <c r="B17" s="113"/>
      <c r="C17" s="114"/>
      <c r="D17" s="115"/>
      <c r="E17" s="115"/>
      <c r="F17" s="116"/>
      <c r="G17" s="117"/>
      <c r="H17" s="118"/>
      <c r="I17" s="119"/>
      <c r="J17" s="118"/>
      <c r="K17" s="120"/>
      <c r="L17" s="121"/>
      <c r="M17" s="122"/>
      <c r="N17" s="122"/>
      <c r="O17" s="123"/>
      <c r="P17" s="124"/>
      <c r="Q17" s="125"/>
      <c r="R17" s="125"/>
      <c r="S17" s="126"/>
      <c r="T17" s="126"/>
      <c r="U17" s="126"/>
      <c r="V17" s="126"/>
      <c r="W17" s="126"/>
      <c r="X17" s="127"/>
      <c r="Y17" s="123"/>
      <c r="Z17" s="125"/>
      <c r="AA17" s="125"/>
      <c r="AB17" s="125"/>
      <c r="AC17" s="125"/>
      <c r="AD17" s="125"/>
      <c r="AE17" s="125"/>
      <c r="AF17" s="125"/>
      <c r="AG17" s="128"/>
      <c r="AH17" s="129"/>
      <c r="AI17" s="130"/>
      <c r="AJ17" s="131" t="s">
        <v>126</v>
      </c>
    </row>
    <row r="18" spans="1:36" ht="15.75" customHeight="1" x14ac:dyDescent="0.25">
      <c r="A18" s="387">
        <v>10</v>
      </c>
      <c r="B18" s="91"/>
      <c r="C18" s="92"/>
      <c r="D18" s="93"/>
      <c r="E18" s="93"/>
      <c r="F18" s="94"/>
      <c r="G18" s="132"/>
      <c r="H18" s="96"/>
      <c r="I18" s="98"/>
      <c r="J18" s="96"/>
      <c r="K18" s="100"/>
      <c r="L18" s="101"/>
      <c r="M18" s="103"/>
      <c r="N18" s="103"/>
      <c r="O18" s="104"/>
      <c r="P18" s="132"/>
      <c r="Q18" s="105"/>
      <c r="R18" s="105"/>
      <c r="S18" s="109"/>
      <c r="T18" s="106"/>
      <c r="U18" s="106"/>
      <c r="V18" s="106"/>
      <c r="W18" s="106"/>
      <c r="X18" s="107"/>
      <c r="Y18" s="104"/>
      <c r="Z18" s="105"/>
      <c r="AA18" s="105"/>
      <c r="AB18" s="105"/>
      <c r="AC18" s="105"/>
      <c r="AD18" s="105"/>
      <c r="AE18" s="105"/>
      <c r="AF18" s="105"/>
      <c r="AG18" s="108"/>
      <c r="AH18" s="109"/>
      <c r="AI18" s="110"/>
      <c r="AJ18" s="111" t="s">
        <v>127</v>
      </c>
    </row>
    <row r="19" spans="1:36" ht="15.75" customHeight="1" x14ac:dyDescent="0.25">
      <c r="A19" s="387">
        <v>11</v>
      </c>
      <c r="B19" s="91"/>
      <c r="C19" s="92"/>
      <c r="D19" s="93"/>
      <c r="E19" s="93"/>
      <c r="F19" s="94"/>
      <c r="G19" s="132"/>
      <c r="H19" s="96"/>
      <c r="I19" s="98"/>
      <c r="J19" s="96"/>
      <c r="K19" s="100"/>
      <c r="L19" s="101"/>
      <c r="M19" s="103"/>
      <c r="N19" s="103"/>
      <c r="O19" s="104"/>
      <c r="P19" s="132"/>
      <c r="Q19" s="105"/>
      <c r="R19" s="105"/>
      <c r="S19" s="106"/>
      <c r="T19" s="106"/>
      <c r="U19" s="106"/>
      <c r="V19" s="106"/>
      <c r="W19" s="106"/>
      <c r="X19" s="107"/>
      <c r="Y19" s="104"/>
      <c r="Z19" s="105"/>
      <c r="AA19" s="105"/>
      <c r="AB19" s="108"/>
      <c r="AC19" s="105"/>
      <c r="AD19" s="105"/>
      <c r="AE19" s="105"/>
      <c r="AF19" s="105"/>
      <c r="AG19" s="108"/>
      <c r="AH19" s="109"/>
      <c r="AI19" s="110"/>
      <c r="AJ19" s="111" t="s">
        <v>128</v>
      </c>
    </row>
    <row r="20" spans="1:36" ht="15.75" customHeight="1" x14ac:dyDescent="0.25">
      <c r="A20" s="387">
        <v>12</v>
      </c>
      <c r="B20" s="113"/>
      <c r="C20" s="114"/>
      <c r="D20" s="115"/>
      <c r="E20" s="115"/>
      <c r="F20" s="116"/>
      <c r="G20" s="117"/>
      <c r="H20" s="118"/>
      <c r="I20" s="119"/>
      <c r="J20" s="118"/>
      <c r="K20" s="120"/>
      <c r="L20" s="121"/>
      <c r="M20" s="122"/>
      <c r="N20" s="122"/>
      <c r="O20" s="123"/>
      <c r="P20" s="124"/>
      <c r="Q20" s="125"/>
      <c r="R20" s="125"/>
      <c r="S20" s="126"/>
      <c r="T20" s="126"/>
      <c r="U20" s="126"/>
      <c r="V20" s="126"/>
      <c r="W20" s="126"/>
      <c r="X20" s="127"/>
      <c r="Y20" s="123"/>
      <c r="Z20" s="125"/>
      <c r="AA20" s="125"/>
      <c r="AB20" s="125"/>
      <c r="AC20" s="125"/>
      <c r="AD20" s="125"/>
      <c r="AE20" s="125"/>
      <c r="AF20" s="125"/>
      <c r="AG20" s="128">
        <f>N20</f>
        <v>0</v>
      </c>
      <c r="AH20" s="129"/>
      <c r="AI20" s="130">
        <f>AG20</f>
        <v>0</v>
      </c>
      <c r="AJ20" s="131" t="s">
        <v>126</v>
      </c>
    </row>
    <row r="21" spans="1:36" ht="15.75" customHeight="1" x14ac:dyDescent="0.25">
      <c r="A21" s="387">
        <v>13</v>
      </c>
      <c r="B21" s="91"/>
      <c r="C21" s="92"/>
      <c r="D21" s="93"/>
      <c r="E21" s="93"/>
      <c r="F21" s="94"/>
      <c r="G21" s="133"/>
      <c r="H21" s="134"/>
      <c r="I21" s="135"/>
      <c r="J21" s="136"/>
      <c r="K21" s="137"/>
      <c r="L21" s="138"/>
      <c r="M21" s="103"/>
      <c r="N21" s="103"/>
      <c r="O21" s="104"/>
      <c r="P21" s="104"/>
      <c r="Q21" s="105"/>
      <c r="R21" s="105"/>
      <c r="S21" s="106"/>
      <c r="T21" s="106"/>
      <c r="U21" s="106"/>
      <c r="V21" s="109"/>
      <c r="W21" s="106"/>
      <c r="X21" s="107"/>
      <c r="Y21" s="104"/>
      <c r="Z21" s="105"/>
      <c r="AA21" s="105"/>
      <c r="AB21" s="105"/>
      <c r="AC21" s="105"/>
      <c r="AD21" s="105"/>
      <c r="AE21" s="105"/>
      <c r="AF21" s="105"/>
      <c r="AG21" s="108"/>
      <c r="AH21" s="109"/>
      <c r="AI21" s="110"/>
      <c r="AJ21" s="111" t="s">
        <v>129</v>
      </c>
    </row>
    <row r="22" spans="1:36" ht="15.75" customHeight="1" x14ac:dyDescent="0.25">
      <c r="A22" s="387">
        <v>14</v>
      </c>
      <c r="B22" s="91"/>
      <c r="C22" s="92"/>
      <c r="D22" s="93"/>
      <c r="E22" s="139"/>
      <c r="F22" s="94"/>
      <c r="G22" s="133"/>
      <c r="H22" s="136"/>
      <c r="I22" s="140"/>
      <c r="J22" s="136"/>
      <c r="K22" s="140"/>
      <c r="L22" s="141"/>
      <c r="M22" s="103"/>
      <c r="N22" s="103"/>
      <c r="O22" s="104"/>
      <c r="P22" s="104"/>
      <c r="Q22" s="105"/>
      <c r="R22" s="105"/>
      <c r="S22" s="106"/>
      <c r="T22" s="106"/>
      <c r="U22" s="106"/>
      <c r="V22" s="106"/>
      <c r="W22" s="106"/>
      <c r="X22" s="107"/>
      <c r="Y22" s="104"/>
      <c r="Z22" s="105"/>
      <c r="AA22" s="105"/>
      <c r="AB22" s="108"/>
      <c r="AC22" s="105"/>
      <c r="AD22" s="105"/>
      <c r="AE22" s="105"/>
      <c r="AF22" s="105"/>
      <c r="AG22" s="108"/>
      <c r="AH22" s="109"/>
      <c r="AI22" s="110"/>
      <c r="AJ22" s="111" t="s">
        <v>130</v>
      </c>
    </row>
    <row r="23" spans="1:36" ht="15.75" customHeight="1" x14ac:dyDescent="0.25">
      <c r="A23" s="387">
        <v>15</v>
      </c>
      <c r="B23" s="142"/>
      <c r="C23" s="143"/>
      <c r="D23" s="143"/>
      <c r="E23" s="143"/>
      <c r="F23" s="144"/>
      <c r="G23" s="145"/>
      <c r="H23" s="146"/>
      <c r="I23" s="145"/>
      <c r="J23" s="146"/>
      <c r="K23" s="147"/>
      <c r="L23" s="148"/>
      <c r="M23" s="149"/>
      <c r="N23" s="149"/>
      <c r="O23" s="150"/>
      <c r="P23" s="150"/>
      <c r="Q23" s="151"/>
      <c r="R23" s="151"/>
      <c r="S23" s="152"/>
      <c r="T23" s="152"/>
      <c r="U23" s="152"/>
      <c r="V23" s="152"/>
      <c r="W23" s="152"/>
      <c r="X23" s="153"/>
      <c r="Y23" s="150"/>
      <c r="Z23" s="154"/>
      <c r="AA23" s="151"/>
      <c r="AB23" s="155"/>
      <c r="AC23" s="151"/>
      <c r="AD23" s="151"/>
      <c r="AE23" s="156"/>
      <c r="AF23" s="151"/>
      <c r="AG23" s="154"/>
      <c r="AH23" s="157"/>
      <c r="AI23" s="86"/>
      <c r="AJ23" s="158" t="s">
        <v>131</v>
      </c>
    </row>
    <row r="24" spans="1:36" ht="15.75" customHeight="1" x14ac:dyDescent="0.25">
      <c r="A24" s="387">
        <v>16</v>
      </c>
      <c r="B24" s="91"/>
      <c r="C24" s="92"/>
      <c r="D24" s="93"/>
      <c r="E24" s="93"/>
      <c r="F24" s="94"/>
      <c r="G24" s="95"/>
      <c r="H24" s="96"/>
      <c r="I24" s="98"/>
      <c r="J24" s="99"/>
      <c r="K24" s="100"/>
      <c r="L24" s="101"/>
      <c r="M24" s="103"/>
      <c r="N24" s="103"/>
      <c r="O24" s="104"/>
      <c r="P24" s="104"/>
      <c r="Q24" s="105"/>
      <c r="R24" s="105"/>
      <c r="S24" s="106"/>
      <c r="T24" s="106"/>
      <c r="U24" s="109"/>
      <c r="V24" s="106"/>
      <c r="W24" s="106"/>
      <c r="X24" s="107"/>
      <c r="Y24" s="104"/>
      <c r="Z24" s="105"/>
      <c r="AA24" s="105"/>
      <c r="AB24" s="105"/>
      <c r="AC24" s="105"/>
      <c r="AD24" s="105"/>
      <c r="AE24" s="105"/>
      <c r="AF24" s="108"/>
      <c r="AG24" s="108"/>
      <c r="AH24" s="109"/>
      <c r="AI24" s="110"/>
      <c r="AJ24" s="111" t="s">
        <v>132</v>
      </c>
    </row>
    <row r="25" spans="1:36" ht="15.75" customHeight="1" x14ac:dyDescent="0.25">
      <c r="A25" s="386">
        <v>17</v>
      </c>
      <c r="B25" s="91"/>
      <c r="C25" s="92"/>
      <c r="D25" s="93"/>
      <c r="E25" s="93"/>
      <c r="F25" s="94"/>
      <c r="G25" s="95"/>
      <c r="H25" s="96"/>
      <c r="I25" s="98"/>
      <c r="J25" s="99"/>
      <c r="K25" s="100"/>
      <c r="L25" s="101"/>
      <c r="M25" s="103"/>
      <c r="N25" s="103"/>
      <c r="O25" s="104"/>
      <c r="P25" s="104"/>
      <c r="Q25" s="105"/>
      <c r="R25" s="105"/>
      <c r="S25" s="106"/>
      <c r="T25" s="106"/>
      <c r="U25" s="106"/>
      <c r="V25" s="106"/>
      <c r="W25" s="106"/>
      <c r="X25" s="107"/>
      <c r="Y25" s="104"/>
      <c r="Z25" s="108"/>
      <c r="AA25" s="105"/>
      <c r="AB25" s="108"/>
      <c r="AC25" s="105"/>
      <c r="AD25" s="105"/>
      <c r="AE25" s="105"/>
      <c r="AF25" s="105"/>
      <c r="AG25" s="108"/>
      <c r="AH25" s="109"/>
      <c r="AI25" s="110"/>
      <c r="AJ25" s="111" t="s">
        <v>133</v>
      </c>
    </row>
    <row r="26" spans="1:36" ht="15.75" customHeight="1" x14ac:dyDescent="0.25">
      <c r="A26" s="387">
        <v>18</v>
      </c>
      <c r="B26" s="159"/>
      <c r="C26" s="160"/>
      <c r="D26" s="161"/>
      <c r="E26" s="161"/>
      <c r="F26" s="162"/>
      <c r="G26" s="163"/>
      <c r="H26" s="164"/>
      <c r="I26" s="163"/>
      <c r="J26" s="165"/>
      <c r="K26" s="166"/>
      <c r="L26" s="167"/>
      <c r="M26" s="168"/>
      <c r="N26" s="168"/>
      <c r="O26" s="169"/>
      <c r="P26" s="170"/>
      <c r="Q26" s="171"/>
      <c r="R26" s="171"/>
      <c r="S26" s="172"/>
      <c r="T26" s="172"/>
      <c r="U26" s="172"/>
      <c r="V26" s="172"/>
      <c r="W26" s="172"/>
      <c r="X26" s="110"/>
      <c r="Y26" s="169"/>
      <c r="Z26" s="171"/>
      <c r="AA26" s="171"/>
      <c r="AB26" s="173"/>
      <c r="AC26" s="171"/>
      <c r="AD26" s="171"/>
      <c r="AE26" s="171"/>
      <c r="AF26" s="171"/>
      <c r="AG26" s="173"/>
      <c r="AH26" s="174"/>
      <c r="AI26" s="110"/>
      <c r="AJ26" s="175" t="s">
        <v>134</v>
      </c>
    </row>
    <row r="27" spans="1:36" ht="15.75" customHeight="1" x14ac:dyDescent="0.25">
      <c r="A27" s="387">
        <v>19</v>
      </c>
      <c r="B27" s="176"/>
      <c r="C27" s="177"/>
      <c r="D27" s="178"/>
      <c r="E27" s="178"/>
      <c r="F27" s="179"/>
      <c r="G27" s="98"/>
      <c r="H27" s="96"/>
      <c r="I27" s="98"/>
      <c r="J27" s="99"/>
      <c r="K27" s="100"/>
      <c r="L27" s="101"/>
      <c r="M27" s="168"/>
      <c r="N27" s="168"/>
      <c r="O27" s="104"/>
      <c r="P27" s="132"/>
      <c r="Q27" s="105"/>
      <c r="R27" s="105"/>
      <c r="S27" s="106"/>
      <c r="T27" s="106"/>
      <c r="U27" s="106"/>
      <c r="V27" s="106"/>
      <c r="W27" s="106"/>
      <c r="X27" s="107"/>
      <c r="Y27" s="104"/>
      <c r="Z27" s="105"/>
      <c r="AA27" s="105"/>
      <c r="AB27" s="108"/>
      <c r="AC27" s="105"/>
      <c r="AD27" s="105"/>
      <c r="AE27" s="105"/>
      <c r="AF27" s="105"/>
      <c r="AG27" s="108"/>
      <c r="AH27" s="109"/>
      <c r="AI27" s="110"/>
      <c r="AJ27" s="111" t="s">
        <v>135</v>
      </c>
    </row>
    <row r="28" spans="1:36" ht="15" customHeight="1" x14ac:dyDescent="0.25">
      <c r="A28" s="387">
        <v>20</v>
      </c>
      <c r="B28" s="176"/>
      <c r="C28" s="177"/>
      <c r="D28" s="178"/>
      <c r="E28" s="178"/>
      <c r="F28" s="179"/>
      <c r="G28" s="98"/>
      <c r="H28" s="96"/>
      <c r="I28" s="98"/>
      <c r="J28" s="99"/>
      <c r="K28" s="100"/>
      <c r="L28" s="101"/>
      <c r="M28" s="168"/>
      <c r="N28" s="168"/>
      <c r="O28" s="104"/>
      <c r="P28" s="104"/>
      <c r="Q28" s="105"/>
      <c r="R28" s="105"/>
      <c r="S28" s="106"/>
      <c r="T28" s="106"/>
      <c r="U28" s="106"/>
      <c r="V28" s="106"/>
      <c r="W28" s="106"/>
      <c r="X28" s="107"/>
      <c r="Y28" s="104"/>
      <c r="Z28" s="108"/>
      <c r="AA28" s="105"/>
      <c r="AB28" s="108"/>
      <c r="AC28" s="105"/>
      <c r="AD28" s="105"/>
      <c r="AE28" s="105"/>
      <c r="AF28" s="105"/>
      <c r="AG28" s="108"/>
      <c r="AH28" s="109"/>
      <c r="AI28" s="110"/>
      <c r="AJ28" s="111" t="s">
        <v>136</v>
      </c>
    </row>
    <row r="29" spans="1:36" ht="15.75" customHeight="1" x14ac:dyDescent="0.25">
      <c r="A29" s="387">
        <v>21</v>
      </c>
      <c r="B29" s="176"/>
      <c r="C29" s="177"/>
      <c r="D29" s="178"/>
      <c r="E29" s="178"/>
      <c r="F29" s="179"/>
      <c r="G29" s="98"/>
      <c r="H29" s="96"/>
      <c r="I29" s="98"/>
      <c r="J29" s="99"/>
      <c r="K29" s="100"/>
      <c r="L29" s="101"/>
      <c r="M29" s="168"/>
      <c r="N29" s="168"/>
      <c r="O29" s="104"/>
      <c r="P29" s="104"/>
      <c r="Q29" s="105"/>
      <c r="R29" s="105"/>
      <c r="S29" s="106"/>
      <c r="T29" s="106"/>
      <c r="U29" s="106"/>
      <c r="V29" s="106"/>
      <c r="W29" s="106"/>
      <c r="X29" s="107"/>
      <c r="Y29" s="104"/>
      <c r="Z29" s="105"/>
      <c r="AA29" s="105"/>
      <c r="AB29" s="108"/>
      <c r="AC29" s="105"/>
      <c r="AD29" s="105"/>
      <c r="AE29" s="105"/>
      <c r="AF29" s="105"/>
      <c r="AG29" s="108"/>
      <c r="AH29" s="109"/>
      <c r="AI29" s="110"/>
      <c r="AJ29" s="111" t="s">
        <v>137</v>
      </c>
    </row>
    <row r="30" spans="1:36" ht="15.75" customHeight="1" x14ac:dyDescent="0.25">
      <c r="A30" s="387">
        <v>22</v>
      </c>
      <c r="B30" s="176"/>
      <c r="C30" s="177"/>
      <c r="D30" s="178"/>
      <c r="E30" s="178"/>
      <c r="F30" s="179"/>
      <c r="G30" s="98"/>
      <c r="H30" s="96"/>
      <c r="I30" s="98"/>
      <c r="J30" s="99"/>
      <c r="K30" s="100"/>
      <c r="L30" s="101"/>
      <c r="M30" s="168"/>
      <c r="N30" s="168"/>
      <c r="O30" s="104"/>
      <c r="P30" s="104"/>
      <c r="Q30" s="105"/>
      <c r="R30" s="105"/>
      <c r="S30" s="106"/>
      <c r="T30" s="106"/>
      <c r="U30" s="106"/>
      <c r="V30" s="106"/>
      <c r="W30" s="106"/>
      <c r="X30" s="107"/>
      <c r="Y30" s="104"/>
      <c r="Z30" s="105"/>
      <c r="AA30" s="105"/>
      <c r="AB30" s="108"/>
      <c r="AC30" s="105"/>
      <c r="AD30" s="105"/>
      <c r="AE30" s="105"/>
      <c r="AF30" s="108"/>
      <c r="AG30" s="108"/>
      <c r="AH30" s="109"/>
      <c r="AI30" s="110"/>
      <c r="AJ30" s="111" t="s">
        <v>138</v>
      </c>
    </row>
    <row r="31" spans="1:36" ht="15.75" customHeight="1" x14ac:dyDescent="0.25">
      <c r="A31" s="387">
        <v>23</v>
      </c>
      <c r="B31" s="176"/>
      <c r="C31" s="177"/>
      <c r="D31" s="178"/>
      <c r="E31" s="178"/>
      <c r="F31" s="179"/>
      <c r="G31" s="98"/>
      <c r="H31" s="96"/>
      <c r="I31" s="180"/>
      <c r="J31" s="96"/>
      <c r="K31" s="100"/>
      <c r="L31" s="101"/>
      <c r="M31" s="168"/>
      <c r="N31" s="168"/>
      <c r="O31" s="104"/>
      <c r="P31" s="132"/>
      <c r="Q31" s="105"/>
      <c r="R31" s="105"/>
      <c r="S31" s="109"/>
      <c r="T31" s="106"/>
      <c r="U31" s="106"/>
      <c r="V31" s="106"/>
      <c r="W31" s="106"/>
      <c r="X31" s="107"/>
      <c r="Y31" s="104"/>
      <c r="Z31" s="105"/>
      <c r="AA31" s="105"/>
      <c r="AB31" s="105"/>
      <c r="AC31" s="105"/>
      <c r="AD31" s="105"/>
      <c r="AE31" s="105"/>
      <c r="AF31" s="105"/>
      <c r="AG31" s="108"/>
      <c r="AH31" s="109"/>
      <c r="AI31" s="110"/>
      <c r="AJ31" s="111" t="s">
        <v>139</v>
      </c>
    </row>
    <row r="32" spans="1:36" ht="15.75" customHeight="1" x14ac:dyDescent="0.25">
      <c r="A32" s="387">
        <v>24</v>
      </c>
      <c r="B32" s="176"/>
      <c r="C32" s="177"/>
      <c r="D32" s="178"/>
      <c r="E32" s="178"/>
      <c r="F32" s="179"/>
      <c r="G32" s="98"/>
      <c r="H32" s="96"/>
      <c r="I32" s="180"/>
      <c r="J32" s="96"/>
      <c r="K32" s="100"/>
      <c r="L32" s="101"/>
      <c r="M32" s="168"/>
      <c r="N32" s="168"/>
      <c r="O32" s="104"/>
      <c r="P32" s="132"/>
      <c r="Q32" s="105"/>
      <c r="R32" s="108"/>
      <c r="S32" s="106"/>
      <c r="T32" s="106"/>
      <c r="U32" s="106"/>
      <c r="V32" s="106"/>
      <c r="W32" s="106"/>
      <c r="X32" s="107"/>
      <c r="Y32" s="104"/>
      <c r="Z32" s="105"/>
      <c r="AA32" s="105"/>
      <c r="AB32" s="105"/>
      <c r="AC32" s="105"/>
      <c r="AD32" s="105"/>
      <c r="AE32" s="105"/>
      <c r="AF32" s="105"/>
      <c r="AG32" s="108"/>
      <c r="AH32" s="109"/>
      <c r="AI32" s="110"/>
      <c r="AJ32" s="111" t="s">
        <v>140</v>
      </c>
    </row>
    <row r="33" spans="1:36" ht="15.75" customHeight="1" x14ac:dyDescent="0.25">
      <c r="A33" s="387">
        <v>25</v>
      </c>
      <c r="B33" s="181"/>
      <c r="C33" s="182"/>
      <c r="D33" s="183"/>
      <c r="E33" s="183"/>
      <c r="F33" s="184"/>
      <c r="G33" s="185"/>
      <c r="H33" s="118"/>
      <c r="I33" s="185"/>
      <c r="J33" s="186"/>
      <c r="K33" s="120"/>
      <c r="L33" s="121"/>
      <c r="M33" s="187"/>
      <c r="N33" s="187"/>
      <c r="O33" s="123"/>
      <c r="P33" s="123"/>
      <c r="Q33" s="125"/>
      <c r="R33" s="125"/>
      <c r="S33" s="126"/>
      <c r="T33" s="126"/>
      <c r="U33" s="126"/>
      <c r="V33" s="129"/>
      <c r="W33" s="126"/>
      <c r="X33" s="127"/>
      <c r="Y33" s="188"/>
      <c r="Z33" s="189"/>
      <c r="AA33" s="189"/>
      <c r="AB33" s="128"/>
      <c r="AC33" s="189"/>
      <c r="AD33" s="189"/>
      <c r="AE33" s="125"/>
      <c r="AF33" s="189"/>
      <c r="AG33" s="128"/>
      <c r="AH33" s="129"/>
      <c r="AI33" s="130"/>
      <c r="AJ33" s="190" t="s">
        <v>141</v>
      </c>
    </row>
    <row r="34" spans="1:36" ht="15.75" customHeight="1" x14ac:dyDescent="0.25">
      <c r="A34" s="387">
        <v>26</v>
      </c>
      <c r="B34" s="181"/>
      <c r="C34" s="182"/>
      <c r="D34" s="183"/>
      <c r="E34" s="183"/>
      <c r="F34" s="184"/>
      <c r="G34" s="185"/>
      <c r="H34" s="118"/>
      <c r="I34" s="185"/>
      <c r="J34" s="186"/>
      <c r="K34" s="120"/>
      <c r="L34" s="121"/>
      <c r="M34" s="187"/>
      <c r="N34" s="187"/>
      <c r="O34" s="123"/>
      <c r="P34" s="124"/>
      <c r="Q34" s="125"/>
      <c r="R34" s="125"/>
      <c r="S34" s="126"/>
      <c r="T34" s="126"/>
      <c r="U34" s="126"/>
      <c r="V34" s="126"/>
      <c r="W34" s="126"/>
      <c r="X34" s="127"/>
      <c r="Y34" s="123"/>
      <c r="Z34" s="128"/>
      <c r="AA34" s="125"/>
      <c r="AB34" s="125"/>
      <c r="AC34" s="125"/>
      <c r="AD34" s="125"/>
      <c r="AE34" s="125"/>
      <c r="AF34" s="125"/>
      <c r="AG34" s="128"/>
      <c r="AH34" s="129"/>
      <c r="AI34" s="130"/>
      <c r="AJ34" s="131" t="s">
        <v>142</v>
      </c>
    </row>
    <row r="35" spans="1:36" ht="15.75" customHeight="1" x14ac:dyDescent="0.25">
      <c r="A35" s="387">
        <v>27</v>
      </c>
      <c r="B35" s="181"/>
      <c r="C35" s="182"/>
      <c r="D35" s="183"/>
      <c r="E35" s="183"/>
      <c r="F35" s="184"/>
      <c r="G35" s="185"/>
      <c r="H35" s="118"/>
      <c r="I35" s="185"/>
      <c r="J35" s="186"/>
      <c r="K35" s="120"/>
      <c r="L35" s="121"/>
      <c r="M35" s="187"/>
      <c r="N35" s="187"/>
      <c r="O35" s="123"/>
      <c r="P35" s="124"/>
      <c r="Q35" s="125"/>
      <c r="R35" s="125"/>
      <c r="S35" s="126"/>
      <c r="T35" s="126"/>
      <c r="U35" s="126"/>
      <c r="V35" s="126"/>
      <c r="W35" s="126"/>
      <c r="X35" s="127"/>
      <c r="Y35" s="123"/>
      <c r="Z35" s="125"/>
      <c r="AA35" s="125"/>
      <c r="AB35" s="125"/>
      <c r="AC35" s="125"/>
      <c r="AD35" s="125"/>
      <c r="AE35" s="125"/>
      <c r="AF35" s="125"/>
      <c r="AG35" s="128">
        <f>N35</f>
        <v>0</v>
      </c>
      <c r="AH35" s="129"/>
      <c r="AI35" s="130"/>
      <c r="AJ35" s="131" t="s">
        <v>143</v>
      </c>
    </row>
    <row r="36" spans="1:36" ht="15.75" customHeight="1" x14ac:dyDescent="0.25">
      <c r="A36" s="387">
        <v>28</v>
      </c>
      <c r="B36" s="176"/>
      <c r="C36" s="177"/>
      <c r="D36" s="178"/>
      <c r="E36" s="178"/>
      <c r="F36" s="179"/>
      <c r="G36" s="98"/>
      <c r="H36" s="96"/>
      <c r="I36" s="180"/>
      <c r="J36" s="96"/>
      <c r="K36" s="100"/>
      <c r="L36" s="101"/>
      <c r="M36" s="168"/>
      <c r="N36" s="168"/>
      <c r="O36" s="104"/>
      <c r="P36" s="104"/>
      <c r="Q36" s="105"/>
      <c r="R36" s="105"/>
      <c r="S36" s="106"/>
      <c r="T36" s="106"/>
      <c r="U36" s="106"/>
      <c r="V36" s="109"/>
      <c r="W36" s="106"/>
      <c r="X36" s="107"/>
      <c r="Y36" s="104"/>
      <c r="Z36" s="105"/>
      <c r="AA36" s="105"/>
      <c r="AB36" s="108"/>
      <c r="AC36" s="105"/>
      <c r="AD36" s="105"/>
      <c r="AE36" s="105"/>
      <c r="AF36" s="105"/>
      <c r="AG36" s="108"/>
      <c r="AH36" s="106"/>
      <c r="AI36" s="110"/>
      <c r="AJ36" s="111" t="s">
        <v>144</v>
      </c>
    </row>
    <row r="37" spans="1:36" ht="15.75" customHeight="1" x14ac:dyDescent="0.25">
      <c r="A37" s="387">
        <v>29</v>
      </c>
      <c r="B37" s="176"/>
      <c r="C37" s="177"/>
      <c r="D37" s="178"/>
      <c r="E37" s="178"/>
      <c r="F37" s="179"/>
      <c r="G37" s="98"/>
      <c r="H37" s="96"/>
      <c r="I37" s="180"/>
      <c r="J37" s="96"/>
      <c r="K37" s="100"/>
      <c r="L37" s="101"/>
      <c r="M37" s="168"/>
      <c r="N37" s="168"/>
      <c r="O37" s="104"/>
      <c r="P37" s="104"/>
      <c r="Q37" s="105"/>
      <c r="R37" s="105"/>
      <c r="S37" s="106"/>
      <c r="T37" s="106"/>
      <c r="U37" s="106"/>
      <c r="V37" s="106"/>
      <c r="W37" s="106"/>
      <c r="X37" s="107"/>
      <c r="Y37" s="104"/>
      <c r="Z37" s="105"/>
      <c r="AA37" s="105"/>
      <c r="AB37" s="108"/>
      <c r="AC37" s="105"/>
      <c r="AD37" s="105"/>
      <c r="AE37" s="105"/>
      <c r="AF37" s="105"/>
      <c r="AG37" s="108"/>
      <c r="AH37" s="106"/>
      <c r="AI37" s="110"/>
      <c r="AJ37" s="111" t="s">
        <v>145</v>
      </c>
    </row>
    <row r="38" spans="1:36" ht="15.75" customHeight="1" x14ac:dyDescent="0.25">
      <c r="A38" s="387">
        <v>30</v>
      </c>
      <c r="B38" s="191"/>
      <c r="C38" s="177"/>
      <c r="D38" s="178"/>
      <c r="E38" s="178"/>
      <c r="F38" s="179"/>
      <c r="G38" s="98"/>
      <c r="H38" s="96"/>
      <c r="I38" s="98"/>
      <c r="J38" s="96"/>
      <c r="K38" s="100"/>
      <c r="L38" s="101"/>
      <c r="M38" s="168"/>
      <c r="N38" s="168"/>
      <c r="O38" s="104"/>
      <c r="P38" s="104"/>
      <c r="Q38" s="105"/>
      <c r="R38" s="105"/>
      <c r="S38" s="106"/>
      <c r="T38" s="106"/>
      <c r="U38" s="106"/>
      <c r="V38" s="106"/>
      <c r="W38" s="106"/>
      <c r="X38" s="107"/>
      <c r="Y38" s="104"/>
      <c r="Z38" s="108"/>
      <c r="AA38" s="105"/>
      <c r="AB38" s="105"/>
      <c r="AC38" s="105"/>
      <c r="AD38" s="105"/>
      <c r="AE38" s="105"/>
      <c r="AF38" s="105"/>
      <c r="AG38" s="108">
        <f>N38</f>
        <v>0</v>
      </c>
      <c r="AH38" s="109"/>
      <c r="AI38" s="110"/>
      <c r="AJ38" s="111" t="s">
        <v>146</v>
      </c>
    </row>
    <row r="39" spans="1:36" ht="15.75" customHeight="1" x14ac:dyDescent="0.25">
      <c r="A39" s="387">
        <v>31</v>
      </c>
      <c r="B39" s="192"/>
      <c r="C39" s="178"/>
      <c r="D39" s="178"/>
      <c r="E39" s="178"/>
      <c r="F39" s="179"/>
      <c r="G39" s="98"/>
      <c r="H39" s="96"/>
      <c r="I39" s="98"/>
      <c r="J39" s="96"/>
      <c r="K39" s="100"/>
      <c r="L39" s="101"/>
      <c r="M39" s="168"/>
      <c r="N39" s="168"/>
      <c r="O39" s="150"/>
      <c r="P39" s="150"/>
      <c r="Q39" s="151"/>
      <c r="R39" s="151"/>
      <c r="S39" s="152"/>
      <c r="T39" s="152"/>
      <c r="U39" s="152"/>
      <c r="V39" s="152"/>
      <c r="W39" s="152"/>
      <c r="X39" s="153"/>
      <c r="Y39" s="150"/>
      <c r="Z39" s="154"/>
      <c r="AA39" s="151"/>
      <c r="AB39" s="108"/>
      <c r="AC39" s="151"/>
      <c r="AD39" s="151"/>
      <c r="AE39" s="156"/>
      <c r="AF39" s="151"/>
      <c r="AG39" s="154"/>
      <c r="AH39" s="157"/>
      <c r="AI39" s="86"/>
      <c r="AJ39" s="158" t="s">
        <v>147</v>
      </c>
    </row>
    <row r="40" spans="1:36" ht="15.75" customHeight="1" x14ac:dyDescent="0.25">
      <c r="A40" s="387">
        <v>32</v>
      </c>
      <c r="B40" s="192"/>
      <c r="C40" s="178"/>
      <c r="D40" s="178"/>
      <c r="E40" s="178"/>
      <c r="F40" s="179"/>
      <c r="G40" s="98"/>
      <c r="H40" s="96"/>
      <c r="I40" s="98"/>
      <c r="J40" s="96"/>
      <c r="K40" s="100"/>
      <c r="L40" s="101"/>
      <c r="M40" s="168"/>
      <c r="N40" s="168"/>
      <c r="O40" s="150"/>
      <c r="P40" s="150"/>
      <c r="Q40" s="151"/>
      <c r="R40" s="151"/>
      <c r="S40" s="152"/>
      <c r="T40" s="152"/>
      <c r="U40" s="152"/>
      <c r="V40" s="152"/>
      <c r="W40" s="152"/>
      <c r="X40" s="153"/>
      <c r="Y40" s="150"/>
      <c r="Z40" s="151"/>
      <c r="AA40" s="151"/>
      <c r="AB40" s="108"/>
      <c r="AC40" s="151"/>
      <c r="AD40" s="151"/>
      <c r="AE40" s="156"/>
      <c r="AF40" s="151"/>
      <c r="AG40" s="154"/>
      <c r="AH40" s="157"/>
      <c r="AI40" s="86"/>
      <c r="AJ40" s="158" t="s">
        <v>148</v>
      </c>
    </row>
    <row r="41" spans="1:36" ht="15.75" customHeight="1" x14ac:dyDescent="0.25">
      <c r="A41" s="387">
        <v>33</v>
      </c>
      <c r="B41" s="192"/>
      <c r="C41" s="178"/>
      <c r="D41" s="178"/>
      <c r="E41" s="178"/>
      <c r="F41" s="179"/>
      <c r="G41" s="98"/>
      <c r="H41" s="96"/>
      <c r="I41" s="98"/>
      <c r="J41" s="96"/>
      <c r="K41" s="100"/>
      <c r="L41" s="101"/>
      <c r="M41" s="168"/>
      <c r="N41" s="168"/>
      <c r="O41" s="150"/>
      <c r="P41" s="150"/>
      <c r="Q41" s="151"/>
      <c r="R41" s="151"/>
      <c r="S41" s="152"/>
      <c r="T41" s="152"/>
      <c r="U41" s="152"/>
      <c r="V41" s="152"/>
      <c r="W41" s="152"/>
      <c r="X41" s="153"/>
      <c r="Y41" s="150"/>
      <c r="Z41" s="154"/>
      <c r="AA41" s="151"/>
      <c r="AB41" s="108"/>
      <c r="AC41" s="151"/>
      <c r="AD41" s="151"/>
      <c r="AE41" s="156"/>
      <c r="AF41" s="151"/>
      <c r="AG41" s="154"/>
      <c r="AH41" s="157"/>
      <c r="AI41" s="86"/>
      <c r="AJ41" s="158" t="s">
        <v>149</v>
      </c>
    </row>
    <row r="42" spans="1:36" ht="15.75" customHeight="1" x14ac:dyDescent="0.25">
      <c r="A42" s="387">
        <v>34</v>
      </c>
      <c r="B42" s="192"/>
      <c r="C42" s="178"/>
      <c r="D42" s="178"/>
      <c r="E42" s="178"/>
      <c r="F42" s="179"/>
      <c r="G42" s="98"/>
      <c r="H42" s="96"/>
      <c r="I42" s="98"/>
      <c r="J42" s="96"/>
      <c r="K42" s="100"/>
      <c r="L42" s="101"/>
      <c r="M42" s="168"/>
      <c r="N42" s="168"/>
      <c r="O42" s="150"/>
      <c r="P42" s="150"/>
      <c r="Q42" s="151"/>
      <c r="R42" s="151"/>
      <c r="S42" s="152"/>
      <c r="T42" s="152"/>
      <c r="U42" s="152"/>
      <c r="V42" s="152"/>
      <c r="W42" s="152"/>
      <c r="X42" s="153"/>
      <c r="Y42" s="150"/>
      <c r="Z42" s="151"/>
      <c r="AA42" s="151"/>
      <c r="AB42" s="108"/>
      <c r="AC42" s="151"/>
      <c r="AD42" s="151"/>
      <c r="AE42" s="156"/>
      <c r="AF42" s="151"/>
      <c r="AG42" s="154"/>
      <c r="AH42" s="157"/>
      <c r="AI42" s="86"/>
      <c r="AJ42" s="158" t="s">
        <v>150</v>
      </c>
    </row>
    <row r="43" spans="1:36" ht="15.75" customHeight="1" x14ac:dyDescent="0.25">
      <c r="A43" s="387">
        <v>35</v>
      </c>
      <c r="B43" s="192"/>
      <c r="C43" s="178"/>
      <c r="D43" s="178"/>
      <c r="E43" s="178"/>
      <c r="F43" s="179"/>
      <c r="G43" s="98"/>
      <c r="H43" s="96"/>
      <c r="I43" s="98"/>
      <c r="J43" s="96"/>
      <c r="K43" s="100"/>
      <c r="L43" s="101"/>
      <c r="M43" s="168"/>
      <c r="N43" s="168"/>
      <c r="O43" s="150"/>
      <c r="P43" s="150"/>
      <c r="Q43" s="151"/>
      <c r="R43" s="151"/>
      <c r="S43" s="152"/>
      <c r="T43" s="152"/>
      <c r="U43" s="193"/>
      <c r="V43" s="152"/>
      <c r="W43" s="152"/>
      <c r="X43" s="153"/>
      <c r="Y43" s="150"/>
      <c r="Z43" s="108"/>
      <c r="AA43" s="151"/>
      <c r="AB43" s="151"/>
      <c r="AC43" s="151"/>
      <c r="AD43" s="151"/>
      <c r="AE43" s="151"/>
      <c r="AF43" s="154"/>
      <c r="AG43" s="154"/>
      <c r="AH43" s="157"/>
      <c r="AI43" s="86"/>
      <c r="AJ43" s="158" t="s">
        <v>151</v>
      </c>
    </row>
    <row r="44" spans="1:36" ht="15.75" customHeight="1" x14ac:dyDescent="0.25">
      <c r="A44" s="387">
        <v>36</v>
      </c>
      <c r="B44" s="192"/>
      <c r="C44" s="178"/>
      <c r="D44" s="178"/>
      <c r="E44" s="178"/>
      <c r="F44" s="179"/>
      <c r="G44" s="98"/>
      <c r="H44" s="96"/>
      <c r="I44" s="98"/>
      <c r="J44" s="96"/>
      <c r="K44" s="100"/>
      <c r="L44" s="101"/>
      <c r="M44" s="168"/>
      <c r="N44" s="194"/>
      <c r="O44" s="150"/>
      <c r="P44" s="132"/>
      <c r="Q44" s="151"/>
      <c r="R44" s="151"/>
      <c r="S44" s="152"/>
      <c r="T44" s="152"/>
      <c r="U44" s="152"/>
      <c r="V44" s="152"/>
      <c r="W44" s="152"/>
      <c r="X44" s="153"/>
      <c r="Y44" s="150"/>
      <c r="Z44" s="151"/>
      <c r="AA44" s="151"/>
      <c r="AB44" s="154"/>
      <c r="AC44" s="151"/>
      <c r="AD44" s="151"/>
      <c r="AE44" s="151"/>
      <c r="AF44" s="156"/>
      <c r="AG44" s="154"/>
      <c r="AH44" s="157"/>
      <c r="AI44" s="86"/>
      <c r="AJ44" s="158" t="s">
        <v>152</v>
      </c>
    </row>
    <row r="45" spans="1:36" ht="15.75" customHeight="1" x14ac:dyDescent="0.25">
      <c r="A45" s="387">
        <v>37</v>
      </c>
      <c r="B45" s="192"/>
      <c r="C45" s="178"/>
      <c r="D45" s="178"/>
      <c r="E45" s="178"/>
      <c r="F45" s="179"/>
      <c r="G45" s="195"/>
      <c r="H45" s="196"/>
      <c r="I45" s="195"/>
      <c r="J45" s="196"/>
      <c r="K45" s="197"/>
      <c r="L45" s="198"/>
      <c r="M45" s="194"/>
      <c r="N45" s="168"/>
      <c r="O45" s="150"/>
      <c r="P45" s="150"/>
      <c r="Q45" s="151"/>
      <c r="R45" s="151"/>
      <c r="S45" s="152"/>
      <c r="T45" s="152"/>
      <c r="U45" s="152"/>
      <c r="V45" s="152"/>
      <c r="W45" s="152"/>
      <c r="X45" s="153"/>
      <c r="Y45" s="150"/>
      <c r="Z45" s="154"/>
      <c r="AA45" s="151"/>
      <c r="AB45" s="108"/>
      <c r="AC45" s="151"/>
      <c r="AD45" s="151"/>
      <c r="AE45" s="156"/>
      <c r="AF45" s="151"/>
      <c r="AG45" s="154"/>
      <c r="AH45" s="157"/>
      <c r="AI45" s="86"/>
      <c r="AJ45" s="158" t="s">
        <v>153</v>
      </c>
    </row>
    <row r="46" spans="1:36" ht="15.75" customHeight="1" x14ac:dyDescent="0.25">
      <c r="A46" s="387">
        <v>38</v>
      </c>
      <c r="B46" s="142"/>
      <c r="C46" s="143"/>
      <c r="D46" s="143"/>
      <c r="E46" s="143"/>
      <c r="F46" s="144"/>
      <c r="G46" s="145"/>
      <c r="H46" s="146"/>
      <c r="I46" s="145"/>
      <c r="J46" s="146"/>
      <c r="K46" s="147"/>
      <c r="L46" s="148"/>
      <c r="M46" s="149"/>
      <c r="N46" s="149"/>
      <c r="O46" s="199"/>
      <c r="P46" s="200"/>
      <c r="Q46" s="151"/>
      <c r="R46" s="151"/>
      <c r="S46" s="152"/>
      <c r="T46" s="152"/>
      <c r="U46" s="152"/>
      <c r="V46" s="152"/>
      <c r="W46" s="152"/>
      <c r="X46" s="153"/>
      <c r="Y46" s="150"/>
      <c r="Z46" s="154"/>
      <c r="AA46" s="151"/>
      <c r="AB46" s="151"/>
      <c r="AC46" s="151"/>
      <c r="AD46" s="151"/>
      <c r="AE46" s="156"/>
      <c r="AF46" s="151"/>
      <c r="AG46" s="154"/>
      <c r="AH46" s="157"/>
      <c r="AI46" s="86"/>
      <c r="AJ46" s="158" t="s">
        <v>154</v>
      </c>
    </row>
    <row r="47" spans="1:36" ht="15.75" customHeight="1" x14ac:dyDescent="0.25">
      <c r="A47" s="387">
        <v>40</v>
      </c>
      <c r="B47" s="142"/>
      <c r="C47" s="143"/>
      <c r="D47" s="143"/>
      <c r="E47" s="143"/>
      <c r="F47" s="144"/>
      <c r="G47" s="145"/>
      <c r="H47" s="146"/>
      <c r="I47" s="145"/>
      <c r="J47" s="146"/>
      <c r="K47" s="147"/>
      <c r="L47" s="148"/>
      <c r="M47" s="149"/>
      <c r="N47" s="149"/>
      <c r="O47" s="199"/>
      <c r="P47" s="200"/>
      <c r="Q47" s="201"/>
      <c r="R47" s="201"/>
      <c r="S47" s="202"/>
      <c r="T47" s="202"/>
      <c r="U47" s="202"/>
      <c r="V47" s="202"/>
      <c r="W47" s="202"/>
      <c r="X47" s="203"/>
      <c r="Y47" s="199"/>
      <c r="Z47" s="201"/>
      <c r="AA47" s="201"/>
      <c r="AB47" s="155"/>
      <c r="AC47" s="201"/>
      <c r="AD47" s="201"/>
      <c r="AE47" s="201"/>
      <c r="AF47" s="201"/>
      <c r="AG47" s="155"/>
      <c r="AH47" s="204"/>
      <c r="AI47" s="205"/>
      <c r="AJ47" s="206" t="s">
        <v>155</v>
      </c>
    </row>
    <row r="48" spans="1:36" ht="15.75" customHeight="1" x14ac:dyDescent="0.25">
      <c r="A48" s="387">
        <v>40</v>
      </c>
      <c r="B48" s="142"/>
      <c r="C48" s="143"/>
      <c r="D48" s="143"/>
      <c r="E48" s="143"/>
      <c r="F48" s="144"/>
      <c r="G48" s="145"/>
      <c r="H48" s="146"/>
      <c r="I48" s="145"/>
      <c r="J48" s="146"/>
      <c r="K48" s="147"/>
      <c r="L48" s="148"/>
      <c r="M48" s="149"/>
      <c r="N48" s="149"/>
      <c r="O48" s="199"/>
      <c r="P48" s="199"/>
      <c r="Q48" s="207"/>
      <c r="R48" s="207"/>
      <c r="S48" s="208"/>
      <c r="T48" s="208"/>
      <c r="U48" s="208"/>
      <c r="V48" s="208"/>
      <c r="W48" s="208"/>
      <c r="X48" s="203"/>
      <c r="Y48" s="199"/>
      <c r="Z48" s="155"/>
      <c r="AA48" s="201"/>
      <c r="AB48" s="155"/>
      <c r="AC48" s="201"/>
      <c r="AD48" s="201"/>
      <c r="AE48" s="201"/>
      <c r="AF48" s="201"/>
      <c r="AG48" s="155"/>
      <c r="AH48" s="204"/>
      <c r="AI48" s="205"/>
      <c r="AJ48" s="209" t="s">
        <v>133</v>
      </c>
    </row>
    <row r="49" spans="1:36" ht="15.75" customHeight="1" x14ac:dyDescent="0.25">
      <c r="A49" s="387">
        <v>41</v>
      </c>
      <c r="B49" s="210"/>
      <c r="C49" s="143"/>
      <c r="D49" s="143"/>
      <c r="E49" s="143"/>
      <c r="F49" s="211"/>
      <c r="G49" s="145"/>
      <c r="H49" s="212"/>
      <c r="I49" s="200"/>
      <c r="J49" s="213"/>
      <c r="K49" s="147"/>
      <c r="L49" s="211"/>
      <c r="M49" s="149"/>
      <c r="N49" s="149"/>
      <c r="O49" s="199"/>
      <c r="P49" s="214"/>
      <c r="Q49" s="201"/>
      <c r="R49" s="201"/>
      <c r="S49" s="201"/>
      <c r="T49" s="201"/>
      <c r="U49" s="201"/>
      <c r="V49" s="201"/>
      <c r="W49" s="202"/>
      <c r="X49" s="203"/>
      <c r="Y49" s="199"/>
      <c r="Z49" s="155"/>
      <c r="AA49" s="201"/>
      <c r="AB49" s="155"/>
      <c r="AC49" s="201"/>
      <c r="AD49" s="201"/>
      <c r="AE49" s="201"/>
      <c r="AF49" s="201"/>
      <c r="AG49" s="155"/>
      <c r="AH49" s="204"/>
      <c r="AI49" s="205"/>
      <c r="AJ49" s="215" t="s">
        <v>156</v>
      </c>
    </row>
    <row r="50" spans="1:36" ht="15.75" customHeight="1" x14ac:dyDescent="0.25">
      <c r="A50" s="387">
        <v>42</v>
      </c>
      <c r="B50" s="216"/>
      <c r="C50" s="143"/>
      <c r="D50" s="143"/>
      <c r="E50" s="217"/>
      <c r="F50" s="218"/>
      <c r="G50" s="219"/>
      <c r="H50" s="220"/>
      <c r="I50" s="221"/>
      <c r="J50" s="222"/>
      <c r="K50" s="223"/>
      <c r="L50" s="218"/>
      <c r="M50" s="149"/>
      <c r="N50" s="149"/>
      <c r="O50" s="224"/>
      <c r="P50" s="225"/>
      <c r="Q50" s="201"/>
      <c r="R50" s="201"/>
      <c r="S50" s="201"/>
      <c r="T50" s="201"/>
      <c r="U50" s="201"/>
      <c r="V50" s="201"/>
      <c r="W50" s="202"/>
      <c r="X50" s="203"/>
      <c r="Y50" s="199"/>
      <c r="Z50" s="201"/>
      <c r="AA50" s="201"/>
      <c r="AB50" s="155"/>
      <c r="AC50" s="201"/>
      <c r="AD50" s="201"/>
      <c r="AE50" s="201"/>
      <c r="AF50" s="226"/>
      <c r="AG50" s="155"/>
      <c r="AH50" s="202"/>
      <c r="AI50" s="205"/>
      <c r="AJ50" s="227" t="s">
        <v>157</v>
      </c>
    </row>
    <row r="51" spans="1:36" ht="15.75" customHeight="1" x14ac:dyDescent="0.25">
      <c r="A51" s="387">
        <v>43</v>
      </c>
      <c r="B51" s="216"/>
      <c r="C51" s="143"/>
      <c r="D51" s="143"/>
      <c r="E51" s="217"/>
      <c r="F51" s="144"/>
      <c r="G51" s="219"/>
      <c r="H51" s="220"/>
      <c r="I51" s="221"/>
      <c r="J51" s="222"/>
      <c r="K51" s="223"/>
      <c r="L51" s="218"/>
      <c r="M51" s="149"/>
      <c r="N51" s="149"/>
      <c r="O51" s="224"/>
      <c r="P51" s="225"/>
      <c r="Q51" s="201"/>
      <c r="R51" s="201"/>
      <c r="S51" s="201"/>
      <c r="T51" s="201"/>
      <c r="U51" s="201"/>
      <c r="V51" s="201"/>
      <c r="W51" s="202"/>
      <c r="X51" s="203"/>
      <c r="Y51" s="199"/>
      <c r="Z51" s="155"/>
      <c r="AA51" s="201"/>
      <c r="AB51" s="155"/>
      <c r="AC51" s="201"/>
      <c r="AD51" s="201"/>
      <c r="AE51" s="201"/>
      <c r="AF51" s="226"/>
      <c r="AG51" s="155"/>
      <c r="AH51" s="202"/>
      <c r="AI51" s="205"/>
      <c r="AJ51" s="227" t="s">
        <v>158</v>
      </c>
    </row>
    <row r="52" spans="1:36" ht="15.75" customHeight="1" x14ac:dyDescent="0.25">
      <c r="A52" s="387">
        <v>44</v>
      </c>
      <c r="B52" s="228"/>
      <c r="C52" s="143"/>
      <c r="D52" s="143"/>
      <c r="E52" s="143"/>
      <c r="F52" s="211"/>
      <c r="G52" s="219"/>
      <c r="H52" s="220"/>
      <c r="I52" s="221"/>
      <c r="J52" s="222"/>
      <c r="K52" s="223"/>
      <c r="L52" s="218"/>
      <c r="M52" s="149"/>
      <c r="N52" s="149"/>
      <c r="O52" s="224"/>
      <c r="P52" s="225"/>
      <c r="Q52" s="201"/>
      <c r="R52" s="201"/>
      <c r="S52" s="201"/>
      <c r="T52" s="201"/>
      <c r="U52" s="201"/>
      <c r="V52" s="201"/>
      <c r="W52" s="202"/>
      <c r="X52" s="203"/>
      <c r="Y52" s="199"/>
      <c r="Z52" s="201"/>
      <c r="AA52" s="201"/>
      <c r="AB52" s="155"/>
      <c r="AC52" s="201"/>
      <c r="AD52" s="201"/>
      <c r="AE52" s="201"/>
      <c r="AF52" s="201"/>
      <c r="AG52" s="155"/>
      <c r="AH52" s="204"/>
      <c r="AI52" s="205"/>
      <c r="AJ52" s="227" t="s">
        <v>159</v>
      </c>
    </row>
    <row r="53" spans="1:36" ht="15.75" customHeight="1" x14ac:dyDescent="0.25">
      <c r="A53" s="387">
        <v>45</v>
      </c>
      <c r="B53" s="229"/>
      <c r="C53" s="143"/>
      <c r="D53" s="143"/>
      <c r="E53" s="217"/>
      <c r="F53" s="218"/>
      <c r="G53" s="219"/>
      <c r="H53" s="220"/>
      <c r="I53" s="221"/>
      <c r="J53" s="222"/>
      <c r="K53" s="223"/>
      <c r="L53" s="218"/>
      <c r="M53" s="149"/>
      <c r="N53" s="149"/>
      <c r="O53" s="224"/>
      <c r="P53" s="225"/>
      <c r="Q53" s="201"/>
      <c r="R53" s="201"/>
      <c r="S53" s="201"/>
      <c r="T53" s="201"/>
      <c r="U53" s="201"/>
      <c r="V53" s="201"/>
      <c r="W53" s="202"/>
      <c r="X53" s="203"/>
      <c r="Y53" s="199"/>
      <c r="Z53" s="201"/>
      <c r="AA53" s="201"/>
      <c r="AB53" s="155"/>
      <c r="AC53" s="201"/>
      <c r="AD53" s="201"/>
      <c r="AE53" s="226"/>
      <c r="AF53" s="155"/>
      <c r="AG53" s="155"/>
      <c r="AH53" s="204"/>
      <c r="AI53" s="205"/>
      <c r="AJ53" s="227" t="s">
        <v>160</v>
      </c>
    </row>
    <row r="54" spans="1:36" ht="16.5" customHeight="1" x14ac:dyDescent="0.25">
      <c r="A54" s="387">
        <v>46</v>
      </c>
      <c r="B54" s="142"/>
      <c r="C54" s="143"/>
      <c r="D54" s="143"/>
      <c r="E54" s="143"/>
      <c r="F54" s="230"/>
      <c r="G54" s="231"/>
      <c r="H54" s="146"/>
      <c r="I54" s="231"/>
      <c r="J54" s="146"/>
      <c r="K54" s="232"/>
      <c r="L54" s="148"/>
      <c r="M54" s="149"/>
      <c r="N54" s="149"/>
      <c r="O54" s="199"/>
      <c r="P54" s="233"/>
      <c r="Q54" s="201"/>
      <c r="R54" s="201"/>
      <c r="S54" s="201"/>
      <c r="T54" s="201"/>
      <c r="U54" s="155"/>
      <c r="V54" s="201"/>
      <c r="W54" s="202"/>
      <c r="X54" s="203"/>
      <c r="Y54" s="199"/>
      <c r="Z54" s="201"/>
      <c r="AA54" s="201"/>
      <c r="AB54" s="155"/>
      <c r="AC54" s="201"/>
      <c r="AD54" s="201"/>
      <c r="AE54" s="201"/>
      <c r="AF54" s="201"/>
      <c r="AG54" s="155"/>
      <c r="AH54" s="204"/>
      <c r="AI54" s="205"/>
      <c r="AJ54" s="234" t="s">
        <v>161</v>
      </c>
    </row>
    <row r="55" spans="1:36" ht="15.75" customHeight="1" x14ac:dyDescent="0.25">
      <c r="A55" s="387">
        <v>47</v>
      </c>
      <c r="B55" s="235"/>
      <c r="C55" s="143"/>
      <c r="D55" s="143"/>
      <c r="E55" s="217"/>
      <c r="F55" s="218"/>
      <c r="G55" s="219"/>
      <c r="H55" s="220"/>
      <c r="I55" s="221"/>
      <c r="J55" s="222"/>
      <c r="K55" s="223"/>
      <c r="L55" s="218"/>
      <c r="M55" s="149"/>
      <c r="N55" s="149"/>
      <c r="O55" s="224"/>
      <c r="P55" s="225"/>
      <c r="Q55" s="201"/>
      <c r="R55" s="201"/>
      <c r="S55" s="201"/>
      <c r="T55" s="201"/>
      <c r="U55" s="201"/>
      <c r="V55" s="201"/>
      <c r="W55" s="202"/>
      <c r="X55" s="203"/>
      <c r="Y55" s="199"/>
      <c r="Z55" s="201"/>
      <c r="AA55" s="201"/>
      <c r="AB55" s="155"/>
      <c r="AC55" s="201"/>
      <c r="AD55" s="201"/>
      <c r="AE55" s="226"/>
      <c r="AF55" s="201"/>
      <c r="AG55" s="155"/>
      <c r="AH55" s="204"/>
      <c r="AI55" s="205"/>
      <c r="AJ55" s="236" t="s">
        <v>162</v>
      </c>
    </row>
    <row r="56" spans="1:36" ht="15.75" customHeight="1" x14ac:dyDescent="0.25">
      <c r="A56" s="387">
        <v>48</v>
      </c>
      <c r="B56" s="235"/>
      <c r="C56" s="143"/>
      <c r="D56" s="143"/>
      <c r="E56" s="143"/>
      <c r="F56" s="230"/>
      <c r="G56" s="237"/>
      <c r="H56" s="238"/>
      <c r="I56" s="237"/>
      <c r="J56" s="238"/>
      <c r="K56" s="239"/>
      <c r="L56" s="240"/>
      <c r="M56" s="241"/>
      <c r="N56" s="205"/>
      <c r="O56" s="239"/>
      <c r="P56" s="242"/>
      <c r="Q56" s="243"/>
      <c r="R56" s="243"/>
      <c r="S56" s="243"/>
      <c r="T56" s="243"/>
      <c r="U56" s="243"/>
      <c r="V56" s="243"/>
      <c r="W56" s="240"/>
      <c r="X56" s="244"/>
      <c r="Y56" s="239"/>
      <c r="Z56" s="243"/>
      <c r="AA56" s="243"/>
      <c r="AB56" s="155"/>
      <c r="AC56" s="243"/>
      <c r="AD56" s="243"/>
      <c r="AE56" s="243"/>
      <c r="AF56" s="243"/>
      <c r="AG56" s="245"/>
      <c r="AH56" s="246"/>
      <c r="AI56" s="241"/>
      <c r="AJ56" s="236" t="s">
        <v>163</v>
      </c>
    </row>
    <row r="57" spans="1:36" ht="15.75" customHeight="1" x14ac:dyDescent="0.25">
      <c r="A57" s="387">
        <v>49</v>
      </c>
      <c r="B57" s="247"/>
      <c r="C57" s="178"/>
      <c r="D57" s="178"/>
      <c r="E57" s="178"/>
      <c r="F57" s="139"/>
      <c r="G57" s="248"/>
      <c r="H57" s="249"/>
      <c r="I57" s="248"/>
      <c r="J57" s="249"/>
      <c r="K57" s="250"/>
      <c r="L57" s="251"/>
      <c r="M57" s="252"/>
      <c r="N57" s="110"/>
      <c r="O57" s="250"/>
      <c r="P57" s="253"/>
      <c r="Q57" s="254"/>
      <c r="R57" s="254"/>
      <c r="S57" s="254"/>
      <c r="T57" s="254"/>
      <c r="U57" s="254"/>
      <c r="V57" s="254"/>
      <c r="W57" s="251"/>
      <c r="X57" s="255"/>
      <c r="Y57" s="250"/>
      <c r="Z57" s="254"/>
      <c r="AA57" s="254"/>
      <c r="AB57" s="108"/>
      <c r="AC57" s="254"/>
      <c r="AD57" s="254"/>
      <c r="AE57" s="254"/>
      <c r="AF57" s="254"/>
      <c r="AG57" s="256"/>
      <c r="AH57" s="257"/>
      <c r="AI57" s="252"/>
      <c r="AJ57" s="236" t="s">
        <v>164</v>
      </c>
    </row>
    <row r="58" spans="1:36" ht="15.75" customHeight="1" x14ac:dyDescent="0.25">
      <c r="A58" s="258">
        <v>50</v>
      </c>
      <c r="B58" s="259"/>
      <c r="C58" s="260"/>
      <c r="D58" s="260"/>
      <c r="E58" s="260"/>
      <c r="F58" s="261"/>
      <c r="G58" s="262"/>
      <c r="H58" s="263"/>
      <c r="I58" s="262"/>
      <c r="J58" s="263"/>
      <c r="K58" s="264"/>
      <c r="L58" s="265"/>
      <c r="M58" s="194"/>
      <c r="N58" s="194"/>
      <c r="O58" s="150"/>
      <c r="P58" s="151"/>
      <c r="Q58" s="152"/>
      <c r="R58" s="151"/>
      <c r="S58" s="151"/>
      <c r="T58" s="151"/>
      <c r="U58" s="266"/>
      <c r="V58" s="267"/>
      <c r="W58" s="267"/>
      <c r="X58" s="153"/>
      <c r="Y58" s="150"/>
      <c r="Z58" s="151"/>
      <c r="AA58" s="151"/>
      <c r="AB58" s="151"/>
      <c r="AC58" s="151"/>
      <c r="AD58" s="151"/>
      <c r="AE58" s="154"/>
      <c r="AF58" s="151"/>
      <c r="AG58" s="154"/>
      <c r="AH58" s="157"/>
      <c r="AI58" s="86"/>
      <c r="AJ58" s="268" t="s">
        <v>165</v>
      </c>
    </row>
    <row r="59" spans="1:36" ht="15.75" customHeight="1" x14ac:dyDescent="0.25">
      <c r="A59" s="258">
        <v>51</v>
      </c>
      <c r="B59" s="259"/>
      <c r="C59" s="260"/>
      <c r="D59" s="260"/>
      <c r="E59" s="260"/>
      <c r="F59" s="261"/>
      <c r="G59" s="262"/>
      <c r="H59" s="263"/>
      <c r="I59" s="262"/>
      <c r="J59" s="263"/>
      <c r="K59" s="264"/>
      <c r="L59" s="265"/>
      <c r="M59" s="194"/>
      <c r="N59" s="194"/>
      <c r="O59" s="269"/>
      <c r="P59" s="270"/>
      <c r="Q59" s="271"/>
      <c r="R59" s="271"/>
      <c r="S59" s="272"/>
      <c r="T59" s="272"/>
      <c r="U59" s="267"/>
      <c r="V59" s="267"/>
      <c r="W59" s="267"/>
      <c r="X59" s="153"/>
      <c r="Y59" s="150"/>
      <c r="Z59" s="151"/>
      <c r="AA59" s="151"/>
      <c r="AB59" s="151"/>
      <c r="AC59" s="151"/>
      <c r="AD59" s="151"/>
      <c r="AE59" s="151"/>
      <c r="AF59" s="151"/>
      <c r="AG59" s="154"/>
      <c r="AH59" s="157"/>
      <c r="AI59" s="86"/>
      <c r="AJ59" s="268" t="s">
        <v>166</v>
      </c>
    </row>
    <row r="60" spans="1:36" ht="15.75" customHeight="1" x14ac:dyDescent="0.25">
      <c r="A60" s="258">
        <v>52</v>
      </c>
      <c r="B60" s="259"/>
      <c r="C60" s="260"/>
      <c r="D60" s="260"/>
      <c r="E60" s="260"/>
      <c r="F60" s="261"/>
      <c r="G60" s="262"/>
      <c r="H60" s="263"/>
      <c r="I60" s="262"/>
      <c r="J60" s="263"/>
      <c r="K60" s="264"/>
      <c r="L60" s="265"/>
      <c r="M60" s="194"/>
      <c r="N60" s="194"/>
      <c r="O60" s="273"/>
      <c r="P60" s="274"/>
      <c r="Q60" s="275"/>
      <c r="R60" s="275"/>
      <c r="S60" s="267"/>
      <c r="T60" s="267"/>
      <c r="U60" s="267"/>
      <c r="V60" s="267"/>
      <c r="W60" s="267"/>
      <c r="X60" s="153"/>
      <c r="Y60" s="150"/>
      <c r="Z60" s="151"/>
      <c r="AA60" s="151"/>
      <c r="AB60" s="151"/>
      <c r="AC60" s="151"/>
      <c r="AD60" s="151"/>
      <c r="AE60" s="151"/>
      <c r="AF60" s="151"/>
      <c r="AG60" s="154"/>
      <c r="AH60" s="157"/>
      <c r="AI60" s="86"/>
      <c r="AJ60" s="268" t="s">
        <v>167</v>
      </c>
    </row>
    <row r="61" spans="1:36" ht="15.75" customHeight="1" x14ac:dyDescent="0.25">
      <c r="A61" s="258">
        <v>53</v>
      </c>
      <c r="B61" s="259"/>
      <c r="C61" s="260"/>
      <c r="D61" s="260"/>
      <c r="E61" s="260"/>
      <c r="F61" s="261"/>
      <c r="G61" s="262"/>
      <c r="H61" s="263"/>
      <c r="I61" s="262"/>
      <c r="J61" s="263"/>
      <c r="K61" s="264"/>
      <c r="L61" s="265"/>
      <c r="M61" s="194"/>
      <c r="N61" s="194"/>
      <c r="O61" s="273"/>
      <c r="P61" s="274"/>
      <c r="Q61" s="275"/>
      <c r="R61" s="275"/>
      <c r="S61" s="267"/>
      <c r="T61" s="267"/>
      <c r="U61" s="267"/>
      <c r="V61" s="267"/>
      <c r="W61" s="267"/>
      <c r="X61" s="153"/>
      <c r="Y61" s="150"/>
      <c r="Z61" s="151"/>
      <c r="AA61" s="151"/>
      <c r="AB61" s="151"/>
      <c r="AC61" s="151"/>
      <c r="AD61" s="151"/>
      <c r="AE61" s="151"/>
      <c r="AF61" s="151"/>
      <c r="AG61" s="154"/>
      <c r="AH61" s="157"/>
      <c r="AI61" s="86"/>
      <c r="AJ61" s="268" t="s">
        <v>168</v>
      </c>
    </row>
    <row r="62" spans="1:36" ht="15.75" customHeight="1" x14ac:dyDescent="0.25">
      <c r="A62" s="258">
        <v>54</v>
      </c>
      <c r="B62" s="259"/>
      <c r="C62" s="260"/>
      <c r="D62" s="260"/>
      <c r="E62" s="260"/>
      <c r="F62" s="261"/>
      <c r="G62" s="262"/>
      <c r="H62" s="263"/>
      <c r="I62" s="262"/>
      <c r="J62" s="263"/>
      <c r="K62" s="264"/>
      <c r="L62" s="265"/>
      <c r="M62" s="194"/>
      <c r="N62" s="194"/>
      <c r="O62" s="273"/>
      <c r="P62" s="273"/>
      <c r="Q62" s="275"/>
      <c r="R62" s="275"/>
      <c r="S62" s="267"/>
      <c r="T62" s="267"/>
      <c r="U62" s="267"/>
      <c r="V62" s="267"/>
      <c r="W62" s="267"/>
      <c r="X62" s="153"/>
      <c r="Y62" s="150"/>
      <c r="Z62" s="151"/>
      <c r="AA62" s="151"/>
      <c r="AB62" s="154"/>
      <c r="AC62" s="151"/>
      <c r="AD62" s="151"/>
      <c r="AE62" s="151"/>
      <c r="AF62" s="151"/>
      <c r="AG62" s="154"/>
      <c r="AH62" s="157"/>
      <c r="AI62" s="86"/>
      <c r="AJ62" s="268" t="s">
        <v>169</v>
      </c>
    </row>
    <row r="63" spans="1:36" ht="15.75" customHeight="1" x14ac:dyDescent="0.25">
      <c r="A63" s="258">
        <v>55</v>
      </c>
      <c r="B63" s="259"/>
      <c r="C63" s="260"/>
      <c r="D63" s="260"/>
      <c r="E63" s="260"/>
      <c r="F63" s="261"/>
      <c r="G63" s="262"/>
      <c r="H63" s="263"/>
      <c r="I63" s="262"/>
      <c r="J63" s="263"/>
      <c r="K63" s="264"/>
      <c r="L63" s="265"/>
      <c r="M63" s="194"/>
      <c r="N63" s="194"/>
      <c r="O63" s="273"/>
      <c r="P63" s="273"/>
      <c r="Q63" s="275"/>
      <c r="R63" s="275"/>
      <c r="S63" s="267"/>
      <c r="T63" s="267"/>
      <c r="U63" s="267"/>
      <c r="V63" s="267"/>
      <c r="W63" s="267"/>
      <c r="X63" s="153"/>
      <c r="Y63" s="150"/>
      <c r="Z63" s="151"/>
      <c r="AA63" s="151"/>
      <c r="AB63" s="154"/>
      <c r="AC63" s="151"/>
      <c r="AD63" s="151"/>
      <c r="AE63" s="154"/>
      <c r="AF63" s="151"/>
      <c r="AG63" s="154"/>
      <c r="AH63" s="157"/>
      <c r="AI63" s="86"/>
      <c r="AJ63" s="268" t="s">
        <v>165</v>
      </c>
    </row>
    <row r="64" spans="1:36" ht="15.75" customHeight="1" x14ac:dyDescent="0.25">
      <c r="A64" s="258">
        <v>56</v>
      </c>
      <c r="B64" s="259"/>
      <c r="C64" s="260"/>
      <c r="D64" s="260"/>
      <c r="E64" s="260"/>
      <c r="F64" s="261"/>
      <c r="G64" s="262"/>
      <c r="H64" s="263"/>
      <c r="I64" s="262"/>
      <c r="J64" s="263"/>
      <c r="K64" s="264"/>
      <c r="L64" s="265"/>
      <c r="M64" s="194"/>
      <c r="N64" s="194"/>
      <c r="O64" s="273"/>
      <c r="P64" s="273"/>
      <c r="Q64" s="275"/>
      <c r="R64" s="275"/>
      <c r="S64" s="267"/>
      <c r="T64" s="267"/>
      <c r="U64" s="267"/>
      <c r="V64" s="267"/>
      <c r="W64" s="267"/>
      <c r="X64" s="153"/>
      <c r="Y64" s="150"/>
      <c r="Z64" s="151"/>
      <c r="AA64" s="151"/>
      <c r="AB64" s="151"/>
      <c r="AC64" s="151"/>
      <c r="AD64" s="154"/>
      <c r="AE64" s="151"/>
      <c r="AF64" s="151"/>
      <c r="AG64" s="154"/>
      <c r="AH64" s="157"/>
      <c r="AI64" s="86"/>
      <c r="AJ64" s="268" t="s">
        <v>170</v>
      </c>
    </row>
    <row r="65" spans="1:36" ht="15.75" customHeight="1" x14ac:dyDescent="0.25">
      <c r="A65" s="258">
        <v>57</v>
      </c>
      <c r="B65" s="259"/>
      <c r="C65" s="260"/>
      <c r="D65" s="260"/>
      <c r="E65" s="260"/>
      <c r="F65" s="261"/>
      <c r="G65" s="262"/>
      <c r="H65" s="263"/>
      <c r="I65" s="262"/>
      <c r="J65" s="263"/>
      <c r="K65" s="264"/>
      <c r="L65" s="265"/>
      <c r="M65" s="194"/>
      <c r="N65" s="194"/>
      <c r="O65" s="273"/>
      <c r="P65" s="273"/>
      <c r="Q65" s="275"/>
      <c r="R65" s="275"/>
      <c r="S65" s="267"/>
      <c r="T65" s="267"/>
      <c r="U65" s="267"/>
      <c r="V65" s="267"/>
      <c r="W65" s="267"/>
      <c r="X65" s="153"/>
      <c r="Y65" s="150"/>
      <c r="Z65" s="151"/>
      <c r="AA65" s="151"/>
      <c r="AB65" s="151"/>
      <c r="AC65" s="151"/>
      <c r="AD65" s="154"/>
      <c r="AE65" s="151"/>
      <c r="AF65" s="151"/>
      <c r="AG65" s="154"/>
      <c r="AH65" s="157"/>
      <c r="AI65" s="86"/>
      <c r="AJ65" s="268" t="s">
        <v>171</v>
      </c>
    </row>
    <row r="66" spans="1:36" ht="15.75" customHeight="1" x14ac:dyDescent="0.25">
      <c r="A66" s="258">
        <v>58</v>
      </c>
      <c r="B66" s="259"/>
      <c r="C66" s="260"/>
      <c r="D66" s="260"/>
      <c r="E66" s="260"/>
      <c r="F66" s="261"/>
      <c r="G66" s="262"/>
      <c r="H66" s="263"/>
      <c r="I66" s="262"/>
      <c r="J66" s="263"/>
      <c r="K66" s="264"/>
      <c r="L66" s="265"/>
      <c r="M66" s="194"/>
      <c r="N66" s="194"/>
      <c r="O66" s="273"/>
      <c r="P66" s="273"/>
      <c r="Q66" s="275"/>
      <c r="R66" s="275"/>
      <c r="S66" s="267"/>
      <c r="T66" s="267"/>
      <c r="U66" s="267"/>
      <c r="V66" s="267"/>
      <c r="W66" s="267"/>
      <c r="X66" s="153"/>
      <c r="Y66" s="150"/>
      <c r="Z66" s="151"/>
      <c r="AA66" s="151"/>
      <c r="AB66" s="156"/>
      <c r="AC66" s="151"/>
      <c r="AD66" s="154"/>
      <c r="AE66" s="156"/>
      <c r="AF66" s="151"/>
      <c r="AG66" s="154"/>
      <c r="AH66" s="157"/>
      <c r="AI66" s="86"/>
      <c r="AJ66" s="268" t="s">
        <v>172</v>
      </c>
    </row>
    <row r="67" spans="1:36" ht="15.75" customHeight="1" x14ac:dyDescent="0.25">
      <c r="A67" s="258">
        <v>59</v>
      </c>
      <c r="B67" s="259"/>
      <c r="C67" s="260"/>
      <c r="D67" s="260"/>
      <c r="E67" s="260"/>
      <c r="F67" s="261"/>
      <c r="G67" s="262"/>
      <c r="H67" s="263"/>
      <c r="I67" s="262"/>
      <c r="J67" s="263"/>
      <c r="K67" s="264"/>
      <c r="L67" s="265"/>
      <c r="M67" s="194"/>
      <c r="N67" s="194"/>
      <c r="O67" s="273"/>
      <c r="P67" s="273"/>
      <c r="Q67" s="275"/>
      <c r="R67" s="275"/>
      <c r="S67" s="267"/>
      <c r="T67" s="267"/>
      <c r="U67" s="267"/>
      <c r="V67" s="267"/>
      <c r="W67" s="267"/>
      <c r="X67" s="276"/>
      <c r="Y67" s="277"/>
      <c r="Z67" s="278"/>
      <c r="AA67" s="278"/>
      <c r="AB67" s="279"/>
      <c r="AC67" s="278"/>
      <c r="AD67" s="280"/>
      <c r="AE67" s="279"/>
      <c r="AF67" s="278"/>
      <c r="AG67" s="280"/>
      <c r="AH67" s="281"/>
      <c r="AI67" s="282"/>
      <c r="AJ67" s="268" t="s">
        <v>173</v>
      </c>
    </row>
    <row r="68" spans="1:36" ht="15.75" customHeight="1" x14ac:dyDescent="0.25">
      <c r="A68" s="283"/>
      <c r="B68" s="283"/>
      <c r="C68" s="283"/>
      <c r="D68" s="61"/>
      <c r="E68" s="61"/>
      <c r="F68" s="61" t="s">
        <v>174</v>
      </c>
      <c r="G68" s="284">
        <f t="shared" ref="G68:W68" si="0">SUM(G10:G67)</f>
        <v>0</v>
      </c>
      <c r="H68" s="285">
        <f t="shared" si="0"/>
        <v>0</v>
      </c>
      <c r="I68" s="286">
        <f t="shared" si="0"/>
        <v>0</v>
      </c>
      <c r="J68" s="285">
        <f t="shared" si="0"/>
        <v>0</v>
      </c>
      <c r="K68" s="286">
        <f t="shared" si="0"/>
        <v>0</v>
      </c>
      <c r="L68" s="287">
        <f t="shared" si="0"/>
        <v>0</v>
      </c>
      <c r="M68" s="288">
        <f t="shared" si="0"/>
        <v>0</v>
      </c>
      <c r="N68" s="288">
        <f t="shared" si="0"/>
        <v>0</v>
      </c>
      <c r="O68" s="289">
        <f t="shared" si="0"/>
        <v>0</v>
      </c>
      <c r="P68" s="289">
        <f t="shared" si="0"/>
        <v>0</v>
      </c>
      <c r="Q68" s="290">
        <f t="shared" si="0"/>
        <v>0</v>
      </c>
      <c r="R68" s="290">
        <f t="shared" si="0"/>
        <v>0</v>
      </c>
      <c r="S68" s="290">
        <f t="shared" si="0"/>
        <v>0</v>
      </c>
      <c r="T68" s="290">
        <f t="shared" si="0"/>
        <v>0</v>
      </c>
      <c r="U68" s="290">
        <f t="shared" si="0"/>
        <v>0</v>
      </c>
      <c r="V68" s="290">
        <f t="shared" si="0"/>
        <v>0</v>
      </c>
      <c r="W68" s="290">
        <f t="shared" si="0"/>
        <v>0</v>
      </c>
      <c r="X68" s="291">
        <f t="shared" ref="X68:AI68" si="1">SUM(X9:X67)</f>
        <v>0</v>
      </c>
      <c r="Y68" s="288">
        <f t="shared" si="1"/>
        <v>0</v>
      </c>
      <c r="Z68" s="288">
        <f t="shared" si="1"/>
        <v>0</v>
      </c>
      <c r="AA68" s="288">
        <f t="shared" si="1"/>
        <v>0</v>
      </c>
      <c r="AB68" s="288">
        <f t="shared" si="1"/>
        <v>0</v>
      </c>
      <c r="AC68" s="288">
        <f t="shared" si="1"/>
        <v>0</v>
      </c>
      <c r="AD68" s="288">
        <f t="shared" si="1"/>
        <v>0</v>
      </c>
      <c r="AE68" s="288">
        <f t="shared" si="1"/>
        <v>0</v>
      </c>
      <c r="AF68" s="288">
        <f t="shared" si="1"/>
        <v>0</v>
      </c>
      <c r="AG68" s="288">
        <f t="shared" si="1"/>
        <v>0</v>
      </c>
      <c r="AH68" s="288">
        <f t="shared" si="1"/>
        <v>0</v>
      </c>
      <c r="AI68" s="291">
        <f t="shared" si="1"/>
        <v>0</v>
      </c>
      <c r="AJ68" s="292"/>
    </row>
    <row r="69" spans="1:36" ht="15.75" customHeight="1" x14ac:dyDescent="0.25">
      <c r="A69" s="283"/>
      <c r="B69" s="283"/>
      <c r="C69" s="283"/>
      <c r="D69" s="61"/>
      <c r="E69" s="61"/>
      <c r="F69" s="61" t="s">
        <v>175</v>
      </c>
      <c r="G69" s="293">
        <f>G9+(G68-H68)</f>
        <v>0</v>
      </c>
      <c r="H69" s="294"/>
      <c r="I69" s="295">
        <f>I9+(I68-J68)</f>
        <v>0</v>
      </c>
      <c r="J69" s="294"/>
      <c r="K69" s="295">
        <f>K68-L68</f>
        <v>0</v>
      </c>
      <c r="L69" s="296"/>
      <c r="M69" s="291">
        <f>M84-M85</f>
        <v>0</v>
      </c>
      <c r="N69" s="297"/>
      <c r="O69" s="298"/>
      <c r="P69" s="298"/>
      <c r="Q69" s="299"/>
      <c r="R69" s="299"/>
      <c r="S69" s="296"/>
      <c r="T69" s="296"/>
      <c r="U69" s="296"/>
      <c r="V69" s="296"/>
      <c r="W69" s="296"/>
      <c r="X69" s="283"/>
      <c r="Y69" s="300"/>
      <c r="Z69" s="300"/>
      <c r="AA69" s="300"/>
      <c r="AB69" s="300"/>
      <c r="AC69" s="300"/>
      <c r="AD69" s="300"/>
      <c r="AE69" s="300"/>
      <c r="AF69" s="301"/>
      <c r="AG69" s="302"/>
      <c r="AH69" s="303"/>
      <c r="AI69" s="288"/>
      <c r="AJ69" s="292"/>
    </row>
    <row r="70" spans="1:36" ht="15.75" customHeight="1" x14ac:dyDescent="0.25">
      <c r="A70" s="304"/>
      <c r="B70" s="304"/>
      <c r="C70" s="304"/>
      <c r="D70" s="304"/>
      <c r="E70" s="305"/>
      <c r="F70" s="304"/>
      <c r="G70" s="304"/>
      <c r="H70" s="304"/>
      <c r="I70" s="304"/>
      <c r="J70" s="304"/>
      <c r="K70" s="304"/>
      <c r="L70" s="304"/>
      <c r="M70" s="304"/>
      <c r="N70" s="304"/>
      <c r="O70" s="304"/>
      <c r="P70" s="304"/>
      <c r="Q70" s="304"/>
      <c r="R70" s="304"/>
      <c r="S70" s="304"/>
      <c r="T70" s="304"/>
      <c r="U70" s="304"/>
      <c r="V70" s="304"/>
      <c r="W70" s="304"/>
      <c r="X70" s="304"/>
      <c r="Y70" s="304"/>
      <c r="Z70" s="304"/>
      <c r="AA70" s="304"/>
      <c r="AB70" s="304"/>
      <c r="AC70" s="304"/>
      <c r="AD70" s="304"/>
      <c r="AE70" s="304"/>
      <c r="AF70" s="304"/>
      <c r="AG70" s="304"/>
      <c r="AH70" s="304"/>
      <c r="AI70" s="304"/>
      <c r="AJ70" s="304"/>
    </row>
    <row r="71" spans="1:36" ht="15.75" customHeight="1" x14ac:dyDescent="0.25">
      <c r="A71" s="304"/>
      <c r="B71" s="304"/>
      <c r="C71" s="304"/>
      <c r="D71" s="304"/>
      <c r="E71" s="305"/>
      <c r="F71" s="304"/>
      <c r="G71" s="304"/>
      <c r="H71" s="304"/>
      <c r="I71" s="304"/>
      <c r="J71" s="304"/>
      <c r="K71" s="304"/>
      <c r="L71" s="304"/>
      <c r="M71" s="306"/>
      <c r="N71" s="304"/>
      <c r="O71" s="304"/>
      <c r="P71" s="304"/>
      <c r="Q71" s="304"/>
      <c r="R71" s="304"/>
      <c r="S71" s="304"/>
      <c r="T71" s="304"/>
      <c r="U71" s="304"/>
      <c r="V71" s="304"/>
      <c r="W71" s="304"/>
      <c r="X71" s="304"/>
      <c r="Y71" s="304"/>
      <c r="Z71" s="304"/>
      <c r="AA71" s="304"/>
      <c r="AB71" s="304"/>
      <c r="AC71" s="304"/>
      <c r="AD71" s="304"/>
      <c r="AE71" s="304"/>
      <c r="AF71" s="304"/>
      <c r="AG71" s="304"/>
      <c r="AH71" s="304"/>
      <c r="AI71" s="304"/>
      <c r="AJ71" s="304"/>
    </row>
    <row r="72" spans="1:36" ht="15.75" hidden="1" customHeight="1" x14ac:dyDescent="0.25">
      <c r="A72" s="304"/>
      <c r="B72" s="304"/>
      <c r="C72" s="304"/>
      <c r="D72" s="304"/>
      <c r="E72" s="305"/>
      <c r="F72" s="338" t="s">
        <v>176</v>
      </c>
      <c r="G72" s="339"/>
      <c r="H72" s="304"/>
      <c r="I72" s="304"/>
      <c r="J72" s="304"/>
      <c r="K72" s="304"/>
      <c r="L72" s="304"/>
      <c r="M72" s="304"/>
      <c r="N72" s="304"/>
      <c r="O72" s="304"/>
      <c r="P72" s="304"/>
      <c r="Q72" s="304"/>
      <c r="R72" s="304"/>
      <c r="S72" s="304"/>
      <c r="T72" s="304"/>
      <c r="U72" s="304"/>
      <c r="V72" s="304"/>
      <c r="W72" s="304"/>
      <c r="X72" s="304"/>
      <c r="Y72" s="304"/>
      <c r="Z72" s="304"/>
      <c r="AA72" s="304"/>
      <c r="AB72" s="304"/>
      <c r="AC72" s="304"/>
      <c r="AD72" s="304"/>
      <c r="AE72" s="304"/>
      <c r="AF72" s="304"/>
      <c r="AG72" s="304"/>
      <c r="AH72" s="304"/>
      <c r="AI72" s="304"/>
      <c r="AJ72" s="304"/>
    </row>
    <row r="73" spans="1:36" ht="15.75" hidden="1" customHeight="1" x14ac:dyDescent="0.25">
      <c r="A73" s="304"/>
      <c r="B73" s="304"/>
      <c r="C73" s="304"/>
      <c r="D73" s="304"/>
      <c r="E73" s="305"/>
      <c r="F73" s="307" t="s">
        <v>177</v>
      </c>
      <c r="G73" s="90">
        <f>G60</f>
        <v>0</v>
      </c>
      <c r="H73" s="304"/>
      <c r="I73" s="304"/>
      <c r="J73" s="304"/>
      <c r="K73" s="304"/>
      <c r="L73" s="304"/>
      <c r="M73" s="304"/>
      <c r="N73" s="304"/>
      <c r="O73" s="304"/>
      <c r="P73" s="304"/>
      <c r="Q73" s="304"/>
      <c r="R73" s="304"/>
      <c r="S73" s="304"/>
      <c r="T73" s="304"/>
      <c r="U73" s="304"/>
      <c r="V73" s="304"/>
      <c r="W73" s="304"/>
      <c r="X73" s="304"/>
      <c r="Y73" s="304"/>
      <c r="Z73" s="304"/>
      <c r="AA73" s="304"/>
      <c r="AB73" s="304"/>
      <c r="AC73" s="304"/>
      <c r="AD73" s="304"/>
      <c r="AE73" s="304"/>
      <c r="AF73" s="304"/>
      <c r="AG73" s="304"/>
      <c r="AH73" s="304"/>
      <c r="AI73" s="304"/>
      <c r="AJ73" s="304"/>
    </row>
    <row r="74" spans="1:36" ht="15.75" hidden="1" customHeight="1" x14ac:dyDescent="0.25">
      <c r="A74" s="304"/>
      <c r="B74" s="304"/>
      <c r="C74" s="304"/>
      <c r="D74" s="304"/>
      <c r="E74" s="305"/>
      <c r="F74" s="308" t="s">
        <v>178</v>
      </c>
      <c r="G74" s="196">
        <f>I61</f>
        <v>0</v>
      </c>
      <c r="H74" s="304"/>
      <c r="I74" s="304"/>
      <c r="J74" s="304"/>
      <c r="K74" s="304"/>
      <c r="L74" s="304"/>
      <c r="M74" s="304"/>
      <c r="N74" s="304"/>
      <c r="O74" s="304"/>
      <c r="P74" s="304"/>
      <c r="Q74" s="304"/>
      <c r="R74" s="304"/>
      <c r="S74" s="304"/>
      <c r="T74" s="304"/>
      <c r="U74" s="304"/>
      <c r="V74" s="304"/>
      <c r="W74" s="304"/>
      <c r="X74" s="304"/>
      <c r="Y74" s="304"/>
      <c r="Z74" s="304"/>
      <c r="AA74" s="304"/>
      <c r="AB74" s="304"/>
      <c r="AC74" s="304"/>
      <c r="AD74" s="304"/>
      <c r="AE74" s="304"/>
      <c r="AF74" s="304"/>
      <c r="AG74" s="304"/>
      <c r="AH74" s="304"/>
      <c r="AI74" s="304"/>
      <c r="AJ74" s="304"/>
    </row>
    <row r="75" spans="1:36" ht="15.75" hidden="1" customHeight="1" x14ac:dyDescent="0.25">
      <c r="A75" s="304"/>
      <c r="B75" s="304"/>
      <c r="C75" s="304"/>
      <c r="D75" s="304"/>
      <c r="E75" s="305"/>
      <c r="F75" s="309" t="s">
        <v>179</v>
      </c>
      <c r="G75" s="310">
        <f>SUM(G73:G74)</f>
        <v>0</v>
      </c>
      <c r="H75" s="304"/>
      <c r="I75" s="304"/>
      <c r="J75" s="304"/>
      <c r="K75" s="304"/>
      <c r="L75" s="304"/>
      <c r="M75" s="304"/>
      <c r="N75" s="304"/>
      <c r="O75" s="304"/>
      <c r="P75" s="304"/>
      <c r="Q75" s="304"/>
      <c r="R75" s="304"/>
      <c r="S75" s="304"/>
      <c r="T75" s="304"/>
      <c r="U75" s="304"/>
      <c r="V75" s="304"/>
      <c r="W75" s="304"/>
      <c r="X75" s="304"/>
      <c r="Y75" s="304"/>
      <c r="Z75" s="304"/>
      <c r="AA75" s="304"/>
      <c r="AB75" s="304"/>
      <c r="AC75" s="304"/>
      <c r="AD75" s="304"/>
      <c r="AE75" s="304"/>
      <c r="AF75" s="304"/>
      <c r="AG75" s="304"/>
      <c r="AH75" s="304"/>
      <c r="AI75" s="304"/>
      <c r="AJ75" s="304"/>
    </row>
    <row r="76" spans="1:36" ht="15.75" hidden="1" customHeight="1" x14ac:dyDescent="0.25">
      <c r="A76" s="304"/>
      <c r="B76" s="304"/>
      <c r="C76" s="304"/>
      <c r="D76" s="304"/>
      <c r="E76" s="305"/>
      <c r="F76" s="308" t="s">
        <v>180</v>
      </c>
      <c r="G76" s="311">
        <f>G75/100*20*-1</f>
        <v>0</v>
      </c>
      <c r="H76" s="304" t="s">
        <v>181</v>
      </c>
      <c r="I76" s="304"/>
      <c r="J76" s="304"/>
      <c r="K76" s="304"/>
      <c r="L76" s="304"/>
      <c r="M76" s="304"/>
      <c r="N76" s="304"/>
      <c r="O76" s="304"/>
      <c r="P76" s="304"/>
      <c r="Q76" s="304"/>
      <c r="R76" s="304"/>
      <c r="S76" s="304"/>
      <c r="T76" s="304"/>
      <c r="U76" s="304"/>
      <c r="V76" s="304"/>
      <c r="W76" s="304"/>
      <c r="X76" s="304"/>
      <c r="Y76" s="304"/>
      <c r="Z76" s="304"/>
      <c r="AA76" s="304"/>
      <c r="AB76" s="304"/>
      <c r="AC76" s="304"/>
      <c r="AD76" s="304"/>
      <c r="AE76" s="304"/>
      <c r="AF76" s="304"/>
      <c r="AG76" s="304"/>
      <c r="AH76" s="304"/>
      <c r="AI76" s="304"/>
      <c r="AJ76" s="304"/>
    </row>
    <row r="77" spans="1:36" ht="15.75" hidden="1" customHeight="1" x14ac:dyDescent="0.25">
      <c r="A77" s="304"/>
      <c r="B77" s="304"/>
      <c r="C77" s="304"/>
      <c r="D77" s="304"/>
      <c r="E77" s="305"/>
      <c r="F77" s="309" t="s">
        <v>182</v>
      </c>
      <c r="G77" s="310">
        <f>G75+G76</f>
        <v>0</v>
      </c>
      <c r="H77" s="304"/>
      <c r="I77" s="304"/>
      <c r="J77" s="304"/>
      <c r="K77" s="304"/>
      <c r="L77" s="304"/>
      <c r="M77" s="304"/>
      <c r="N77" s="304"/>
      <c r="O77" s="304"/>
      <c r="P77" s="304"/>
      <c r="Q77" s="304"/>
      <c r="R77" s="304"/>
      <c r="S77" s="304"/>
      <c r="T77" s="304"/>
      <c r="U77" s="304"/>
      <c r="V77" s="304"/>
      <c r="W77" s="304"/>
      <c r="X77" s="304"/>
      <c r="Y77" s="304"/>
      <c r="Z77" s="304"/>
      <c r="AA77" s="304"/>
      <c r="AB77" s="304"/>
      <c r="AC77" s="304"/>
      <c r="AD77" s="304"/>
      <c r="AE77" s="304"/>
      <c r="AF77" s="304"/>
      <c r="AG77" s="304"/>
      <c r="AH77" s="304"/>
      <c r="AI77" s="304"/>
      <c r="AJ77" s="304"/>
    </row>
    <row r="78" spans="1:36" ht="15.75" hidden="1" customHeight="1" x14ac:dyDescent="0.25">
      <c r="A78" s="304"/>
      <c r="B78" s="304"/>
      <c r="C78" s="304"/>
      <c r="D78" s="304"/>
      <c r="E78" s="305"/>
      <c r="F78" s="308" t="s">
        <v>183</v>
      </c>
      <c r="G78" s="196">
        <f>G77/2</f>
        <v>0</v>
      </c>
      <c r="H78" s="304" t="s">
        <v>181</v>
      </c>
      <c r="I78" s="304"/>
      <c r="J78" s="304"/>
      <c r="K78" s="304"/>
      <c r="L78" s="304"/>
      <c r="M78" s="304"/>
      <c r="N78" s="304"/>
      <c r="O78" s="304"/>
      <c r="P78" s="304"/>
      <c r="Q78" s="304"/>
      <c r="R78" s="304"/>
      <c r="S78" s="304"/>
      <c r="T78" s="304"/>
      <c r="U78" s="304"/>
      <c r="V78" s="304"/>
      <c r="W78" s="304"/>
      <c r="X78" s="304"/>
      <c r="Y78" s="304"/>
      <c r="Z78" s="304"/>
      <c r="AA78" s="304"/>
      <c r="AB78" s="304"/>
      <c r="AC78" s="304"/>
      <c r="AD78" s="304"/>
      <c r="AE78" s="304"/>
      <c r="AF78" s="304"/>
      <c r="AG78" s="304"/>
      <c r="AH78" s="304"/>
      <c r="AI78" s="304"/>
      <c r="AJ78" s="304"/>
    </row>
    <row r="79" spans="1:36" ht="15.75" hidden="1" customHeight="1" x14ac:dyDescent="0.25">
      <c r="A79" s="304"/>
      <c r="B79" s="304"/>
      <c r="C79" s="304"/>
      <c r="D79" s="304"/>
      <c r="E79" s="305"/>
      <c r="F79" s="312" t="s">
        <v>184</v>
      </c>
      <c r="G79" s="263">
        <f>G78</f>
        <v>0</v>
      </c>
      <c r="H79" s="304"/>
      <c r="I79" s="304"/>
      <c r="J79" s="304"/>
      <c r="K79" s="304"/>
      <c r="L79" s="304"/>
      <c r="M79" s="304"/>
      <c r="N79" s="304"/>
      <c r="O79" s="304"/>
      <c r="P79" s="304"/>
      <c r="Q79" s="304"/>
      <c r="R79" s="304"/>
      <c r="S79" s="304"/>
      <c r="T79" s="304"/>
      <c r="U79" s="304"/>
      <c r="V79" s="304"/>
      <c r="W79" s="304"/>
      <c r="X79" s="304"/>
      <c r="Y79" s="304"/>
      <c r="Z79" s="304"/>
      <c r="AA79" s="304"/>
      <c r="AB79" s="304"/>
      <c r="AC79" s="304"/>
      <c r="AD79" s="304"/>
      <c r="AE79" s="304"/>
      <c r="AF79" s="304"/>
      <c r="AG79" s="304"/>
      <c r="AH79" s="304"/>
      <c r="AI79" s="304"/>
      <c r="AJ79" s="304"/>
    </row>
    <row r="80" spans="1:36" ht="15.75" hidden="1" customHeight="1" x14ac:dyDescent="0.25">
      <c r="A80" s="304"/>
      <c r="B80" s="304"/>
      <c r="C80" s="304"/>
      <c r="D80" s="304"/>
      <c r="E80" s="305"/>
      <c r="F80" s="313" t="s">
        <v>185</v>
      </c>
      <c r="G80" s="314"/>
      <c r="H80" s="314"/>
      <c r="I80" s="314"/>
      <c r="J80" s="314"/>
      <c r="K80" s="314"/>
      <c r="L80" s="314"/>
      <c r="M80" s="262">
        <f>M68-N68</f>
        <v>0</v>
      </c>
      <c r="N80" s="304"/>
      <c r="O80" s="304"/>
      <c r="P80" s="304"/>
      <c r="Q80" s="304"/>
      <c r="R80" s="304"/>
      <c r="S80" s="304"/>
      <c r="T80" s="304"/>
      <c r="U80" s="304"/>
      <c r="V80" s="304"/>
      <c r="W80" s="304"/>
      <c r="X80" s="304"/>
      <c r="Y80" s="304"/>
      <c r="Z80" s="304"/>
      <c r="AA80" s="304"/>
      <c r="AB80" s="304"/>
      <c r="AC80" s="304"/>
      <c r="AD80" s="304"/>
      <c r="AE80" s="304"/>
      <c r="AF80" s="304"/>
      <c r="AG80" s="304"/>
      <c r="AH80" s="304"/>
      <c r="AI80" s="304"/>
      <c r="AJ80" s="304"/>
    </row>
    <row r="81" spans="5:13" ht="15.75" hidden="1" customHeight="1" x14ac:dyDescent="0.2">
      <c r="E81" s="315"/>
      <c r="F81" s="316"/>
      <c r="M81" s="317"/>
    </row>
    <row r="82" spans="5:13" ht="15.75" hidden="1" customHeight="1" x14ac:dyDescent="0.2">
      <c r="E82" s="315"/>
      <c r="F82" s="316"/>
      <c r="M82" s="317"/>
    </row>
    <row r="83" spans="5:13" ht="15.75" hidden="1" customHeight="1" x14ac:dyDescent="0.2">
      <c r="E83" s="315"/>
      <c r="F83" s="316"/>
      <c r="M83" s="317"/>
    </row>
    <row r="84" spans="5:13" ht="15.75" hidden="1" customHeight="1" x14ac:dyDescent="0.25">
      <c r="E84" s="315"/>
      <c r="F84" s="318" t="s">
        <v>186</v>
      </c>
      <c r="G84" s="319"/>
      <c r="H84" s="319"/>
      <c r="I84" s="319"/>
      <c r="J84" s="319"/>
      <c r="K84" s="319"/>
      <c r="L84" s="319"/>
      <c r="M84" s="320">
        <f>SUM(M9:M57)</f>
        <v>0</v>
      </c>
    </row>
    <row r="85" spans="5:13" ht="15.75" hidden="1" customHeight="1" x14ac:dyDescent="0.25">
      <c r="E85" s="315"/>
      <c r="F85" s="321" t="s">
        <v>72</v>
      </c>
      <c r="G85" s="322"/>
      <c r="H85" s="322"/>
      <c r="I85" s="322"/>
      <c r="J85" s="322"/>
      <c r="K85" s="322"/>
      <c r="L85" s="322"/>
      <c r="M85" s="323">
        <f>SUM(N9:N57)</f>
        <v>0</v>
      </c>
    </row>
    <row r="86" spans="5:13" ht="15.75" hidden="1" customHeight="1" x14ac:dyDescent="0.2">
      <c r="E86" s="315"/>
      <c r="F86" s="316"/>
      <c r="M86" s="317"/>
    </row>
    <row r="87" spans="5:13" ht="15.75" hidden="1" customHeight="1" x14ac:dyDescent="0.25">
      <c r="E87" s="315"/>
      <c r="F87" s="324" t="s">
        <v>187</v>
      </c>
      <c r="G87" s="304"/>
      <c r="H87" s="304"/>
      <c r="I87" s="304"/>
      <c r="J87" s="304"/>
      <c r="K87" s="304"/>
      <c r="L87" s="304"/>
      <c r="M87" s="325">
        <v>3040</v>
      </c>
    </row>
    <row r="88" spans="5:13" ht="15.75" hidden="1" customHeight="1" x14ac:dyDescent="0.25">
      <c r="E88" s="315"/>
      <c r="F88" s="326" t="s">
        <v>188</v>
      </c>
      <c r="G88" s="327"/>
      <c r="H88" s="327"/>
      <c r="I88" s="327"/>
      <c r="J88" s="327"/>
      <c r="K88" s="327"/>
      <c r="L88" s="327"/>
      <c r="M88" s="328">
        <f>M69-M87</f>
        <v>-3040</v>
      </c>
    </row>
    <row r="89" spans="5:13" ht="15.75" customHeight="1" x14ac:dyDescent="0.2">
      <c r="E89" s="315"/>
    </row>
    <row r="90" spans="5:13" ht="15.75" customHeight="1" x14ac:dyDescent="0.2">
      <c r="E90" s="315"/>
    </row>
    <row r="91" spans="5:13" ht="15.75" customHeight="1" x14ac:dyDescent="0.2">
      <c r="E91" s="315"/>
    </row>
    <row r="92" spans="5:13" ht="15.75" customHeight="1" x14ac:dyDescent="0.2">
      <c r="E92" s="315"/>
    </row>
    <row r="93" spans="5:13" ht="15.75" customHeight="1" x14ac:dyDescent="0.2">
      <c r="E93" s="315"/>
    </row>
    <row r="94" spans="5:13" ht="15.75" customHeight="1" x14ac:dyDescent="0.2">
      <c r="E94" s="315"/>
    </row>
    <row r="95" spans="5:13" ht="15.75" customHeight="1" x14ac:dyDescent="0.2">
      <c r="E95" s="315"/>
    </row>
    <row r="96" spans="5:13" ht="15.75" customHeight="1" x14ac:dyDescent="0.2">
      <c r="E96" s="315"/>
    </row>
    <row r="97" spans="5:5" ht="15.75" customHeight="1" x14ac:dyDescent="0.2">
      <c r="E97" s="315"/>
    </row>
    <row r="98" spans="5:5" ht="15.75" customHeight="1" x14ac:dyDescent="0.2">
      <c r="E98" s="315"/>
    </row>
    <row r="99" spans="5:5" ht="15.75" customHeight="1" x14ac:dyDescent="0.2">
      <c r="E99" s="315"/>
    </row>
    <row r="100" spans="5:5" ht="15.75" customHeight="1" x14ac:dyDescent="0.2">
      <c r="E100" s="315"/>
    </row>
    <row r="101" spans="5:5" ht="15.75" customHeight="1" x14ac:dyDescent="0.2">
      <c r="E101" s="315"/>
    </row>
    <row r="102" spans="5:5" ht="15.75" customHeight="1" x14ac:dyDescent="0.2">
      <c r="E102" s="315"/>
    </row>
    <row r="103" spans="5:5" ht="15.75" customHeight="1" x14ac:dyDescent="0.2">
      <c r="E103" s="315"/>
    </row>
    <row r="104" spans="5:5" ht="15.75" customHeight="1" x14ac:dyDescent="0.2">
      <c r="E104" s="315"/>
    </row>
    <row r="105" spans="5:5" ht="15.75" customHeight="1" x14ac:dyDescent="0.2">
      <c r="E105" s="315"/>
    </row>
    <row r="106" spans="5:5" ht="15.75" customHeight="1" x14ac:dyDescent="0.2">
      <c r="E106" s="315"/>
    </row>
    <row r="107" spans="5:5" ht="15.75" customHeight="1" x14ac:dyDescent="0.2">
      <c r="E107" s="315"/>
    </row>
    <row r="108" spans="5:5" ht="15.75" customHeight="1" x14ac:dyDescent="0.2">
      <c r="E108" s="315"/>
    </row>
    <row r="109" spans="5:5" ht="15.75" customHeight="1" x14ac:dyDescent="0.2">
      <c r="E109" s="315"/>
    </row>
    <row r="110" spans="5:5" ht="15.75" customHeight="1" x14ac:dyDescent="0.2">
      <c r="E110" s="315"/>
    </row>
    <row r="111" spans="5:5" ht="15.75" customHeight="1" x14ac:dyDescent="0.2">
      <c r="E111" s="315"/>
    </row>
    <row r="112" spans="5:5" ht="15.75" customHeight="1" x14ac:dyDescent="0.2">
      <c r="E112" s="315"/>
    </row>
    <row r="113" spans="5:5" ht="15.75" customHeight="1" x14ac:dyDescent="0.2">
      <c r="E113" s="315"/>
    </row>
    <row r="114" spans="5:5" ht="15.75" customHeight="1" x14ac:dyDescent="0.2">
      <c r="E114" s="315"/>
    </row>
    <row r="115" spans="5:5" ht="15.75" customHeight="1" x14ac:dyDescent="0.2">
      <c r="E115" s="315"/>
    </row>
    <row r="116" spans="5:5" ht="15.75" customHeight="1" x14ac:dyDescent="0.2">
      <c r="E116" s="315"/>
    </row>
    <row r="117" spans="5:5" ht="15.75" customHeight="1" x14ac:dyDescent="0.2">
      <c r="E117" s="315"/>
    </row>
    <row r="118" spans="5:5" ht="15.75" customHeight="1" x14ac:dyDescent="0.2">
      <c r="E118" s="315"/>
    </row>
    <row r="119" spans="5:5" ht="15.75" customHeight="1" x14ac:dyDescent="0.2">
      <c r="E119" s="315"/>
    </row>
    <row r="120" spans="5:5" ht="15.75" customHeight="1" x14ac:dyDescent="0.2">
      <c r="E120" s="315"/>
    </row>
    <row r="121" spans="5:5" ht="15.75" customHeight="1" x14ac:dyDescent="0.2">
      <c r="E121" s="315"/>
    </row>
    <row r="122" spans="5:5" ht="15.75" customHeight="1" x14ac:dyDescent="0.2">
      <c r="E122" s="315"/>
    </row>
    <row r="123" spans="5:5" ht="15.75" customHeight="1" x14ac:dyDescent="0.2">
      <c r="E123" s="315"/>
    </row>
    <row r="124" spans="5:5" ht="15.75" customHeight="1" x14ac:dyDescent="0.2">
      <c r="E124" s="315"/>
    </row>
    <row r="125" spans="5:5" ht="15.75" customHeight="1" x14ac:dyDescent="0.2">
      <c r="E125" s="315"/>
    </row>
    <row r="126" spans="5:5" ht="15.75" customHeight="1" x14ac:dyDescent="0.2">
      <c r="E126" s="315"/>
    </row>
    <row r="127" spans="5:5" ht="15.75" customHeight="1" x14ac:dyDescent="0.2">
      <c r="E127" s="315"/>
    </row>
    <row r="128" spans="5:5" ht="15.75" customHeight="1" x14ac:dyDescent="0.2">
      <c r="E128" s="315"/>
    </row>
    <row r="129" spans="5:5" ht="15.75" customHeight="1" x14ac:dyDescent="0.2">
      <c r="E129" s="315"/>
    </row>
    <row r="130" spans="5:5" ht="15.75" customHeight="1" x14ac:dyDescent="0.2">
      <c r="E130" s="315"/>
    </row>
    <row r="131" spans="5:5" ht="15.75" customHeight="1" x14ac:dyDescent="0.2">
      <c r="E131" s="315"/>
    </row>
    <row r="132" spans="5:5" ht="15.75" customHeight="1" x14ac:dyDescent="0.2">
      <c r="E132" s="315"/>
    </row>
    <row r="133" spans="5:5" ht="15.75" customHeight="1" x14ac:dyDescent="0.2">
      <c r="E133" s="315"/>
    </row>
    <row r="134" spans="5:5" ht="15.75" customHeight="1" x14ac:dyDescent="0.2">
      <c r="E134" s="315"/>
    </row>
    <row r="135" spans="5:5" ht="15.75" customHeight="1" x14ac:dyDescent="0.2">
      <c r="E135" s="315"/>
    </row>
    <row r="136" spans="5:5" ht="15.75" customHeight="1" x14ac:dyDescent="0.2">
      <c r="E136" s="315"/>
    </row>
    <row r="137" spans="5:5" ht="15.75" customHeight="1" x14ac:dyDescent="0.2">
      <c r="E137" s="315"/>
    </row>
    <row r="138" spans="5:5" ht="15.75" customHeight="1" x14ac:dyDescent="0.2">
      <c r="E138" s="315"/>
    </row>
    <row r="139" spans="5:5" ht="15.75" customHeight="1" x14ac:dyDescent="0.2">
      <c r="E139" s="315"/>
    </row>
    <row r="140" spans="5:5" ht="15.75" customHeight="1" x14ac:dyDescent="0.2">
      <c r="E140" s="315"/>
    </row>
    <row r="141" spans="5:5" ht="15.75" customHeight="1" x14ac:dyDescent="0.2">
      <c r="E141" s="315"/>
    </row>
    <row r="142" spans="5:5" ht="15.75" customHeight="1" x14ac:dyDescent="0.2">
      <c r="E142" s="315"/>
    </row>
    <row r="143" spans="5:5" ht="15.75" customHeight="1" x14ac:dyDescent="0.2">
      <c r="E143" s="315"/>
    </row>
    <row r="144" spans="5:5" ht="15.75" customHeight="1" x14ac:dyDescent="0.2">
      <c r="E144" s="315"/>
    </row>
    <row r="145" spans="5:5" ht="15.75" customHeight="1" x14ac:dyDescent="0.2">
      <c r="E145" s="315"/>
    </row>
    <row r="146" spans="5:5" ht="15.75" customHeight="1" x14ac:dyDescent="0.2">
      <c r="E146" s="315"/>
    </row>
    <row r="147" spans="5:5" ht="15.75" customHeight="1" x14ac:dyDescent="0.2">
      <c r="E147" s="315"/>
    </row>
    <row r="148" spans="5:5" ht="15.75" customHeight="1" x14ac:dyDescent="0.2">
      <c r="E148" s="315"/>
    </row>
    <row r="149" spans="5:5" ht="15.75" customHeight="1" x14ac:dyDescent="0.2">
      <c r="E149" s="315"/>
    </row>
    <row r="150" spans="5:5" ht="15.75" customHeight="1" x14ac:dyDescent="0.2">
      <c r="E150" s="315"/>
    </row>
    <row r="151" spans="5:5" ht="15.75" customHeight="1" x14ac:dyDescent="0.2">
      <c r="E151" s="315"/>
    </row>
    <row r="152" spans="5:5" ht="15.75" customHeight="1" x14ac:dyDescent="0.2">
      <c r="E152" s="315"/>
    </row>
    <row r="153" spans="5:5" ht="15.75" customHeight="1" x14ac:dyDescent="0.2">
      <c r="E153" s="315"/>
    </row>
    <row r="154" spans="5:5" ht="15.75" customHeight="1" x14ac:dyDescent="0.2">
      <c r="E154" s="315"/>
    </row>
    <row r="155" spans="5:5" ht="15.75" customHeight="1" x14ac:dyDescent="0.2">
      <c r="E155" s="315"/>
    </row>
    <row r="156" spans="5:5" ht="15.75" customHeight="1" x14ac:dyDescent="0.2">
      <c r="E156" s="315"/>
    </row>
    <row r="157" spans="5:5" ht="15.75" customHeight="1" x14ac:dyDescent="0.2">
      <c r="E157" s="315"/>
    </row>
    <row r="158" spans="5:5" ht="15.75" customHeight="1" x14ac:dyDescent="0.2">
      <c r="E158" s="315"/>
    </row>
    <row r="159" spans="5:5" ht="15.75" customHeight="1" x14ac:dyDescent="0.2">
      <c r="E159" s="315"/>
    </row>
    <row r="160" spans="5:5" ht="15.75" customHeight="1" x14ac:dyDescent="0.2">
      <c r="E160" s="315"/>
    </row>
    <row r="161" spans="5:5" ht="15.75" customHeight="1" x14ac:dyDescent="0.2">
      <c r="E161" s="315"/>
    </row>
    <row r="162" spans="5:5" ht="15.75" customHeight="1" x14ac:dyDescent="0.2">
      <c r="E162" s="315"/>
    </row>
    <row r="163" spans="5:5" ht="15.75" customHeight="1" x14ac:dyDescent="0.2">
      <c r="E163" s="315"/>
    </row>
    <row r="164" spans="5:5" ht="15.75" customHeight="1" x14ac:dyDescent="0.2">
      <c r="E164" s="315"/>
    </row>
    <row r="165" spans="5:5" ht="15.75" customHeight="1" x14ac:dyDescent="0.2">
      <c r="E165" s="315"/>
    </row>
    <row r="166" spans="5:5" ht="15.75" customHeight="1" x14ac:dyDescent="0.2">
      <c r="E166" s="315"/>
    </row>
    <row r="167" spans="5:5" ht="15.75" customHeight="1" x14ac:dyDescent="0.2">
      <c r="E167" s="315"/>
    </row>
    <row r="168" spans="5:5" ht="15.75" customHeight="1" x14ac:dyDescent="0.2">
      <c r="E168" s="315"/>
    </row>
    <row r="169" spans="5:5" ht="15.75" customHeight="1" x14ac:dyDescent="0.2">
      <c r="E169" s="315"/>
    </row>
    <row r="170" spans="5:5" ht="15.75" customHeight="1" x14ac:dyDescent="0.2">
      <c r="E170" s="315"/>
    </row>
    <row r="171" spans="5:5" ht="15.75" customHeight="1" x14ac:dyDescent="0.2">
      <c r="E171" s="315"/>
    </row>
    <row r="172" spans="5:5" ht="15.75" customHeight="1" x14ac:dyDescent="0.2">
      <c r="E172" s="315"/>
    </row>
    <row r="173" spans="5:5" ht="15.75" customHeight="1" x14ac:dyDescent="0.2">
      <c r="E173" s="315"/>
    </row>
    <row r="174" spans="5:5" ht="15.75" customHeight="1" x14ac:dyDescent="0.2">
      <c r="E174" s="315"/>
    </row>
    <row r="175" spans="5:5" ht="15.75" customHeight="1" x14ac:dyDescent="0.2">
      <c r="E175" s="315"/>
    </row>
    <row r="176" spans="5:5" ht="15.75" customHeight="1" x14ac:dyDescent="0.2">
      <c r="E176" s="315"/>
    </row>
    <row r="177" spans="5:5" ht="15.75" customHeight="1" x14ac:dyDescent="0.2">
      <c r="E177" s="315"/>
    </row>
    <row r="178" spans="5:5" ht="15.75" customHeight="1" x14ac:dyDescent="0.2">
      <c r="E178" s="315"/>
    </row>
    <row r="179" spans="5:5" ht="15.75" customHeight="1" x14ac:dyDescent="0.2">
      <c r="E179" s="315"/>
    </row>
    <row r="180" spans="5:5" ht="15.75" customHeight="1" x14ac:dyDescent="0.2">
      <c r="E180" s="315"/>
    </row>
    <row r="181" spans="5:5" ht="15.75" customHeight="1" x14ac:dyDescent="0.2">
      <c r="E181" s="315"/>
    </row>
    <row r="182" spans="5:5" ht="15.75" customHeight="1" x14ac:dyDescent="0.2">
      <c r="E182" s="315"/>
    </row>
    <row r="183" spans="5:5" ht="15.75" customHeight="1" x14ac:dyDescent="0.2">
      <c r="E183" s="315"/>
    </row>
    <row r="184" spans="5:5" ht="15.75" customHeight="1" x14ac:dyDescent="0.2">
      <c r="E184" s="315"/>
    </row>
    <row r="185" spans="5:5" ht="15.75" customHeight="1" x14ac:dyDescent="0.2">
      <c r="E185" s="315"/>
    </row>
    <row r="186" spans="5:5" ht="15.75" customHeight="1" x14ac:dyDescent="0.2">
      <c r="E186" s="315"/>
    </row>
    <row r="187" spans="5:5" ht="15.75" customHeight="1" x14ac:dyDescent="0.2">
      <c r="E187" s="315"/>
    </row>
    <row r="188" spans="5:5" ht="15.75" customHeight="1" x14ac:dyDescent="0.2">
      <c r="E188" s="315"/>
    </row>
    <row r="189" spans="5:5" ht="15.75" customHeight="1" x14ac:dyDescent="0.2">
      <c r="E189" s="315"/>
    </row>
    <row r="190" spans="5:5" ht="15.75" customHeight="1" x14ac:dyDescent="0.2">
      <c r="E190" s="315"/>
    </row>
    <row r="191" spans="5:5" ht="15.75" customHeight="1" x14ac:dyDescent="0.2">
      <c r="E191" s="315"/>
    </row>
    <row r="192" spans="5:5" ht="15.75" customHeight="1" x14ac:dyDescent="0.2">
      <c r="E192" s="315"/>
    </row>
    <row r="193" spans="5:5" ht="15.75" customHeight="1" x14ac:dyDescent="0.2">
      <c r="E193" s="315"/>
    </row>
    <row r="194" spans="5:5" ht="15.75" customHeight="1" x14ac:dyDescent="0.2">
      <c r="E194" s="315"/>
    </row>
    <row r="195" spans="5:5" ht="15.75" customHeight="1" x14ac:dyDescent="0.2">
      <c r="E195" s="315"/>
    </row>
    <row r="196" spans="5:5" ht="15.75" customHeight="1" x14ac:dyDescent="0.2">
      <c r="E196" s="315"/>
    </row>
    <row r="197" spans="5:5" ht="15.75" customHeight="1" x14ac:dyDescent="0.2">
      <c r="E197" s="315"/>
    </row>
    <row r="198" spans="5:5" ht="15.75" customHeight="1" x14ac:dyDescent="0.2">
      <c r="E198" s="315"/>
    </row>
    <row r="199" spans="5:5" ht="15.75" customHeight="1" x14ac:dyDescent="0.2">
      <c r="E199" s="315"/>
    </row>
    <row r="200" spans="5:5" ht="15.75" customHeight="1" x14ac:dyDescent="0.2">
      <c r="E200" s="315"/>
    </row>
    <row r="201" spans="5:5" ht="15.75" customHeight="1" x14ac:dyDescent="0.2">
      <c r="E201" s="315"/>
    </row>
    <row r="202" spans="5:5" ht="15.75" customHeight="1" x14ac:dyDescent="0.2">
      <c r="E202" s="315"/>
    </row>
    <row r="203" spans="5:5" ht="15.75" customHeight="1" x14ac:dyDescent="0.2">
      <c r="E203" s="315"/>
    </row>
    <row r="204" spans="5:5" ht="15.75" customHeight="1" x14ac:dyDescent="0.2">
      <c r="E204" s="315"/>
    </row>
    <row r="205" spans="5:5" ht="15.75" customHeight="1" x14ac:dyDescent="0.2">
      <c r="E205" s="315"/>
    </row>
    <row r="206" spans="5:5" ht="15.75" customHeight="1" x14ac:dyDescent="0.2">
      <c r="E206" s="315"/>
    </row>
    <row r="207" spans="5:5" ht="15.75" customHeight="1" x14ac:dyDescent="0.2">
      <c r="E207" s="315"/>
    </row>
    <row r="208" spans="5:5" ht="15.75" customHeight="1" x14ac:dyDescent="0.2">
      <c r="E208" s="315"/>
    </row>
    <row r="209" spans="5:5" ht="15.75" customHeight="1" x14ac:dyDescent="0.2">
      <c r="E209" s="315"/>
    </row>
    <row r="210" spans="5:5" ht="15.75" customHeight="1" x14ac:dyDescent="0.2">
      <c r="E210" s="315"/>
    </row>
    <row r="211" spans="5:5" ht="15.75" customHeight="1" x14ac:dyDescent="0.2">
      <c r="E211" s="315"/>
    </row>
    <row r="212" spans="5:5" ht="15.75" customHeight="1" x14ac:dyDescent="0.2">
      <c r="E212" s="315"/>
    </row>
    <row r="213" spans="5:5" ht="15.75" customHeight="1" x14ac:dyDescent="0.2">
      <c r="E213" s="315"/>
    </row>
    <row r="214" spans="5:5" ht="15.75" customHeight="1" x14ac:dyDescent="0.2">
      <c r="E214" s="315"/>
    </row>
    <row r="215" spans="5:5" ht="15.75" customHeight="1" x14ac:dyDescent="0.2">
      <c r="E215" s="315"/>
    </row>
    <row r="216" spans="5:5" ht="15.75" customHeight="1" x14ac:dyDescent="0.2">
      <c r="E216" s="315"/>
    </row>
    <row r="217" spans="5:5" ht="15.75" customHeight="1" x14ac:dyDescent="0.2">
      <c r="E217" s="315"/>
    </row>
    <row r="218" spans="5:5" ht="15.75" customHeight="1" x14ac:dyDescent="0.2">
      <c r="E218" s="315"/>
    </row>
    <row r="219" spans="5:5" ht="15.75" customHeight="1" x14ac:dyDescent="0.2">
      <c r="E219" s="315"/>
    </row>
    <row r="220" spans="5:5" ht="15.75" customHeight="1" x14ac:dyDescent="0.2">
      <c r="E220" s="315"/>
    </row>
    <row r="221" spans="5:5" ht="15.75" customHeight="1" x14ac:dyDescent="0.2">
      <c r="E221" s="315"/>
    </row>
    <row r="222" spans="5:5" ht="15.75" customHeight="1" x14ac:dyDescent="0.2">
      <c r="E222" s="315"/>
    </row>
    <row r="223" spans="5:5" ht="15.75" customHeight="1" x14ac:dyDescent="0.2">
      <c r="E223" s="315"/>
    </row>
    <row r="224" spans="5:5" ht="15.75" customHeight="1" x14ac:dyDescent="0.2">
      <c r="E224" s="315"/>
    </row>
    <row r="225" spans="5:5" ht="15.75" customHeight="1" x14ac:dyDescent="0.2">
      <c r="E225" s="315"/>
    </row>
    <row r="226" spans="5:5" ht="15.75" customHeight="1" x14ac:dyDescent="0.2">
      <c r="E226" s="315"/>
    </row>
    <row r="227" spans="5:5" ht="15.75" customHeight="1" x14ac:dyDescent="0.2">
      <c r="E227" s="315"/>
    </row>
    <row r="228" spans="5:5" ht="15.75" customHeight="1" x14ac:dyDescent="0.2">
      <c r="E228" s="315"/>
    </row>
    <row r="229" spans="5:5" ht="15.75" customHeight="1" x14ac:dyDescent="0.2">
      <c r="E229" s="315"/>
    </row>
    <row r="230" spans="5:5" ht="15.75" customHeight="1" x14ac:dyDescent="0.2">
      <c r="E230" s="315"/>
    </row>
    <row r="231" spans="5:5" ht="15.75" customHeight="1" x14ac:dyDescent="0.2">
      <c r="E231" s="315"/>
    </row>
    <row r="232" spans="5:5" ht="15.75" customHeight="1" x14ac:dyDescent="0.2">
      <c r="E232" s="315"/>
    </row>
    <row r="233" spans="5:5" ht="15.75" customHeight="1" x14ac:dyDescent="0.2">
      <c r="E233" s="315"/>
    </row>
    <row r="234" spans="5:5" ht="15.75" customHeight="1" x14ac:dyDescent="0.2">
      <c r="E234" s="315"/>
    </row>
    <row r="235" spans="5:5" ht="15.75" customHeight="1" x14ac:dyDescent="0.2">
      <c r="E235" s="315"/>
    </row>
    <row r="236" spans="5:5" ht="15.75" customHeight="1" x14ac:dyDescent="0.2">
      <c r="E236" s="315"/>
    </row>
    <row r="237" spans="5:5" ht="15.75" customHeight="1" x14ac:dyDescent="0.2">
      <c r="E237" s="315"/>
    </row>
    <row r="238" spans="5:5" ht="15.75" customHeight="1" x14ac:dyDescent="0.2">
      <c r="E238" s="315"/>
    </row>
    <row r="239" spans="5:5" ht="15.75" customHeight="1" x14ac:dyDescent="0.2">
      <c r="E239" s="315"/>
    </row>
    <row r="240" spans="5:5" ht="15.75" customHeight="1" x14ac:dyDescent="0.2">
      <c r="E240" s="315"/>
    </row>
    <row r="241" spans="5:5" ht="15.75" customHeight="1" x14ac:dyDescent="0.2">
      <c r="E241" s="315"/>
    </row>
    <row r="242" spans="5:5" ht="15.75" customHeight="1" x14ac:dyDescent="0.2">
      <c r="E242" s="315"/>
    </row>
    <row r="243" spans="5:5" ht="15.75" customHeight="1" x14ac:dyDescent="0.2">
      <c r="E243" s="315"/>
    </row>
    <row r="244" spans="5:5" ht="15.75" customHeight="1" x14ac:dyDescent="0.2">
      <c r="E244" s="315"/>
    </row>
    <row r="245" spans="5:5" ht="15.75" customHeight="1" x14ac:dyDescent="0.2"/>
    <row r="246" spans="5:5" ht="15.75" customHeight="1" x14ac:dyDescent="0.2"/>
    <row r="247" spans="5:5" ht="15.75" customHeight="1" x14ac:dyDescent="0.2"/>
    <row r="248" spans="5:5" ht="15.75" customHeight="1" x14ac:dyDescent="0.2"/>
    <row r="249" spans="5:5" ht="15.75" customHeight="1" x14ac:dyDescent="0.2"/>
    <row r="250" spans="5:5" ht="15.75" customHeight="1" x14ac:dyDescent="0.2"/>
    <row r="251" spans="5:5" ht="15.75" customHeight="1" x14ac:dyDescent="0.2"/>
    <row r="252" spans="5:5" ht="15.75" customHeight="1" x14ac:dyDescent="0.2"/>
    <row r="253" spans="5:5" ht="15.75" customHeight="1" x14ac:dyDescent="0.2"/>
    <row r="254" spans="5:5" ht="15.75" customHeight="1" x14ac:dyDescent="0.2"/>
    <row r="255" spans="5:5" ht="15.75" customHeight="1" x14ac:dyDescent="0.2"/>
    <row r="256" spans="5:5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autoFilter ref="A8:AI69" xr:uid="{00000000-0009-0000-0000-000000000000}"/>
  <mergeCells count="17">
    <mergeCell ref="F5:F7"/>
    <mergeCell ref="G5:H6"/>
    <mergeCell ref="F72:G72"/>
    <mergeCell ref="AI5:AI7"/>
    <mergeCell ref="AJ6:AJ7"/>
    <mergeCell ref="I5:J6"/>
    <mergeCell ref="K5:L6"/>
    <mergeCell ref="M5:M6"/>
    <mergeCell ref="N5:N6"/>
    <mergeCell ref="O5:W5"/>
    <mergeCell ref="X5:X7"/>
    <mergeCell ref="Y5:AH5"/>
    <mergeCell ref="A5:A7"/>
    <mergeCell ref="B5:B7"/>
    <mergeCell ref="C5:C7"/>
    <mergeCell ref="D5:D7"/>
    <mergeCell ref="E5:E7"/>
  </mergeCells>
  <conditionalFormatting sqref="X9:X67 AH9:AH35 AG9:AG67 AI9:AI67">
    <cfRule type="cellIs" dxfId="5" priority="1" operator="equal">
      <formula>0</formula>
    </cfRule>
  </conditionalFormatting>
  <conditionalFormatting sqref="M23:N23 M26:N67 AB36:AB37 AH38:AH49 AB49 AB51 AH52:AH67 AB55">
    <cfRule type="cellIs" dxfId="4" priority="2" operator="equal">
      <formula>0</formula>
    </cfRule>
  </conditionalFormatting>
  <hyperlinks>
    <hyperlink ref="AJ33" r:id="rId1" xr:uid="{00000000-0004-0000-0000-000000000000}"/>
  </hyperlinks>
  <printOptions horizontalCentered="1" gridLines="1"/>
  <pageMargins left="0.25" right="0.25" top="0.75" bottom="0.75" header="0" footer="0"/>
  <pageSetup paperSize="8" fitToHeight="0" pageOrder="overThenDown" orientation="landscape" cellComments="atEnd"/>
  <headerFooter>
    <oddHeader>&amp;LObdobí: 27. 2. 2024 - 31. 12. 2024&amp;CVokální skupina 10men, z. s.&amp;R&amp;A</oddHeader>
    <oddFooter>&amp;L&amp;D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outlinePr summaryBelow="0" summaryRight="0"/>
    <pageSetUpPr fitToPage="1"/>
  </sheetPr>
  <dimension ref="A1:K1000"/>
  <sheetViews>
    <sheetView workbookViewId="0">
      <selection activeCell="I11" sqref="I11"/>
    </sheetView>
  </sheetViews>
  <sheetFormatPr defaultColWidth="12.5703125" defaultRowHeight="15" customHeight="1" x14ac:dyDescent="0.2"/>
  <cols>
    <col min="1" max="1" width="7.28515625" customWidth="1"/>
    <col min="2" max="2" width="36" customWidth="1"/>
    <col min="3" max="3" width="7" customWidth="1"/>
    <col min="4" max="4" width="15.85546875" customWidth="1"/>
    <col min="5" max="5" width="15" customWidth="1"/>
    <col min="6" max="6" width="15.28515625" customWidth="1"/>
    <col min="7" max="26" width="11.140625" customWidth="1"/>
  </cols>
  <sheetData>
    <row r="1" spans="1:6" ht="15.75" customHeight="1" x14ac:dyDescent="0.25">
      <c r="A1" s="1" t="s">
        <v>0</v>
      </c>
      <c r="B1" s="2"/>
      <c r="C1" s="2"/>
      <c r="D1" s="2"/>
      <c r="E1" s="2"/>
      <c r="F1" s="2"/>
    </row>
    <row r="2" spans="1:6" ht="15.75" customHeight="1" x14ac:dyDescent="0.2">
      <c r="A2" s="2"/>
      <c r="B2" s="2"/>
      <c r="C2" s="2"/>
      <c r="D2" s="2"/>
      <c r="E2" s="2"/>
      <c r="F2" s="2"/>
    </row>
    <row r="3" spans="1:6" ht="15.75" customHeight="1" x14ac:dyDescent="0.25">
      <c r="A3" s="352" t="s">
        <v>3</v>
      </c>
      <c r="B3" s="353"/>
      <c r="C3" s="6"/>
      <c r="D3" s="8" t="s">
        <v>5</v>
      </c>
      <c r="E3" s="9">
        <v>45349</v>
      </c>
      <c r="F3" s="6"/>
    </row>
    <row r="4" spans="1:6" ht="15.75" customHeight="1" x14ac:dyDescent="0.25">
      <c r="A4" s="6" t="s">
        <v>7</v>
      </c>
      <c r="B4" s="6"/>
      <c r="C4" s="6"/>
      <c r="D4" s="8" t="s">
        <v>8</v>
      </c>
      <c r="E4" s="6" t="s">
        <v>9</v>
      </c>
      <c r="F4" s="6"/>
    </row>
    <row r="5" spans="1:6" ht="15.75" customHeight="1" x14ac:dyDescent="0.25">
      <c r="A5" s="6"/>
      <c r="B5" s="10"/>
      <c r="C5" s="10"/>
      <c r="D5" s="8" t="s">
        <v>10</v>
      </c>
      <c r="E5" s="6" t="s">
        <v>11</v>
      </c>
      <c r="F5" s="6"/>
    </row>
    <row r="6" spans="1:6" ht="15.75" customHeight="1" x14ac:dyDescent="0.2">
      <c r="A6" s="13" t="s">
        <v>13</v>
      </c>
      <c r="B6" s="354" t="s">
        <v>14</v>
      </c>
      <c r="C6" s="10"/>
      <c r="D6" s="13" t="s">
        <v>15</v>
      </c>
      <c r="E6" s="355" t="s">
        <v>16</v>
      </c>
      <c r="F6" s="353"/>
    </row>
    <row r="7" spans="1:6" ht="26.25" customHeight="1" x14ac:dyDescent="0.2">
      <c r="A7" s="15"/>
      <c r="B7" s="353"/>
      <c r="C7" s="10"/>
      <c r="D7" s="10"/>
      <c r="E7" s="353"/>
      <c r="F7" s="353"/>
    </row>
    <row r="8" spans="1:6" ht="15.75" customHeight="1" x14ac:dyDescent="0.25">
      <c r="A8" s="8" t="s">
        <v>17</v>
      </c>
      <c r="B8" s="18">
        <v>21194297</v>
      </c>
      <c r="C8" s="6"/>
      <c r="D8" s="5" t="s">
        <v>19</v>
      </c>
      <c r="E8" s="6"/>
      <c r="F8" s="6"/>
    </row>
    <row r="9" spans="1:6" ht="15.75" customHeight="1" x14ac:dyDescent="0.2">
      <c r="A9" s="18"/>
      <c r="B9" s="6"/>
      <c r="C9" s="6"/>
      <c r="D9" s="356"/>
      <c r="E9" s="353"/>
      <c r="F9" s="6"/>
    </row>
    <row r="10" spans="1:6" ht="15.75" customHeight="1" x14ac:dyDescent="0.25">
      <c r="A10" s="8" t="s">
        <v>21</v>
      </c>
      <c r="B10" s="6"/>
      <c r="C10" s="6"/>
      <c r="D10" s="5"/>
      <c r="E10" s="6"/>
      <c r="F10" s="6"/>
    </row>
    <row r="11" spans="1:6" ht="15.75" customHeight="1" x14ac:dyDescent="0.25">
      <c r="A11" s="18"/>
      <c r="B11" s="6"/>
      <c r="C11" s="6"/>
      <c r="D11" s="5" t="s">
        <v>24</v>
      </c>
      <c r="E11" s="6"/>
      <c r="F11" s="6"/>
    </row>
    <row r="12" spans="1:6" ht="15.75" customHeight="1" x14ac:dyDescent="0.25">
      <c r="A12" s="8"/>
      <c r="B12" s="6"/>
      <c r="C12" s="6" t="s">
        <v>25</v>
      </c>
      <c r="D12" s="5"/>
      <c r="E12" s="6"/>
      <c r="F12" s="6"/>
    </row>
    <row r="13" spans="1:6" ht="15.75" customHeight="1" x14ac:dyDescent="0.2">
      <c r="A13" s="6"/>
      <c r="B13" s="6"/>
      <c r="C13" s="6"/>
      <c r="D13" s="6"/>
      <c r="E13" s="6"/>
      <c r="F13" s="6"/>
    </row>
    <row r="14" spans="1:6" ht="15.75" customHeight="1" x14ac:dyDescent="0.25">
      <c r="A14" s="357"/>
      <c r="B14" s="358"/>
      <c r="C14" s="361" t="s">
        <v>28</v>
      </c>
      <c r="D14" s="363" t="s">
        <v>29</v>
      </c>
      <c r="E14" s="364"/>
      <c r="F14" s="365"/>
    </row>
    <row r="15" spans="1:6" ht="15.75" customHeight="1" x14ac:dyDescent="0.25">
      <c r="A15" s="359"/>
      <c r="B15" s="360"/>
      <c r="C15" s="362"/>
      <c r="D15" s="31" t="s">
        <v>33</v>
      </c>
      <c r="E15" s="33" t="s">
        <v>35</v>
      </c>
      <c r="F15" s="31" t="s">
        <v>40</v>
      </c>
    </row>
    <row r="16" spans="1:6" ht="15.75" customHeight="1" x14ac:dyDescent="0.25">
      <c r="A16" s="34" t="s">
        <v>41</v>
      </c>
      <c r="B16" s="349" t="s">
        <v>12</v>
      </c>
      <c r="C16" s="350"/>
      <c r="D16" s="350"/>
      <c r="E16" s="350"/>
      <c r="F16" s="351"/>
    </row>
    <row r="17" spans="1:11" ht="15.75" customHeight="1" x14ac:dyDescent="0.2">
      <c r="A17" s="39">
        <v>1</v>
      </c>
      <c r="B17" s="39" t="s">
        <v>46</v>
      </c>
      <c r="C17" s="42">
        <v>1</v>
      </c>
      <c r="D17" s="46">
        <f>'Peněžní deník 2025'!O68/1000</f>
        <v>0</v>
      </c>
      <c r="E17" s="47">
        <v>0</v>
      </c>
      <c r="F17" s="46">
        <f t="shared" ref="F17:F26" si="0">D17+E17</f>
        <v>0</v>
      </c>
    </row>
    <row r="18" spans="1:11" ht="15.75" customHeight="1" x14ac:dyDescent="0.2">
      <c r="A18" s="39">
        <v>2</v>
      </c>
      <c r="B18" s="39" t="s">
        <v>23</v>
      </c>
      <c r="C18" s="42">
        <v>2</v>
      </c>
      <c r="D18" s="46">
        <f>'Peněžní deník 2025'!P68/1000</f>
        <v>0</v>
      </c>
      <c r="E18" s="47">
        <v>0</v>
      </c>
      <c r="F18" s="46">
        <f t="shared" si="0"/>
        <v>0</v>
      </c>
    </row>
    <row r="19" spans="1:11" ht="15.75" customHeight="1" x14ac:dyDescent="0.2">
      <c r="A19" s="39">
        <v>3</v>
      </c>
      <c r="B19" s="39" t="s">
        <v>75</v>
      </c>
      <c r="C19" s="42">
        <v>3</v>
      </c>
      <c r="D19" s="46">
        <f>'Peněžní deník 2025'!Q68/1000</f>
        <v>0</v>
      </c>
      <c r="E19" s="47">
        <v>0</v>
      </c>
      <c r="F19" s="46">
        <f t="shared" si="0"/>
        <v>0</v>
      </c>
    </row>
    <row r="20" spans="1:11" ht="15.75" customHeight="1" x14ac:dyDescent="0.2">
      <c r="A20" s="39">
        <v>4</v>
      </c>
      <c r="B20" s="39" t="s">
        <v>43</v>
      </c>
      <c r="C20" s="42">
        <v>4</v>
      </c>
      <c r="D20" s="46">
        <f>'Peněžní deník 2025'!R68/1000</f>
        <v>0</v>
      </c>
      <c r="E20" s="47">
        <v>0</v>
      </c>
      <c r="F20" s="46">
        <f t="shared" si="0"/>
        <v>0</v>
      </c>
    </row>
    <row r="21" spans="1:11" ht="15.75" customHeight="1" x14ac:dyDescent="0.2">
      <c r="A21" s="39">
        <v>5</v>
      </c>
      <c r="B21" s="39" t="s">
        <v>31</v>
      </c>
      <c r="C21" s="42">
        <v>5</v>
      </c>
      <c r="D21" s="46">
        <f>'Peněžní deník 2025'!S68/1000</f>
        <v>0</v>
      </c>
      <c r="E21" s="47">
        <v>0</v>
      </c>
      <c r="F21" s="46">
        <f t="shared" si="0"/>
        <v>0</v>
      </c>
    </row>
    <row r="22" spans="1:11" ht="15.75" customHeight="1" x14ac:dyDescent="0.2">
      <c r="A22" s="39">
        <v>6</v>
      </c>
      <c r="B22" s="39" t="s">
        <v>82</v>
      </c>
      <c r="C22" s="42">
        <v>6</v>
      </c>
      <c r="D22" s="46">
        <f>'Peněžní deník 2025'!T68/1000</f>
        <v>0</v>
      </c>
      <c r="E22" s="47">
        <v>0</v>
      </c>
      <c r="F22" s="46">
        <f t="shared" si="0"/>
        <v>0</v>
      </c>
    </row>
    <row r="23" spans="1:11" ht="15.75" customHeight="1" x14ac:dyDescent="0.2">
      <c r="A23" s="39">
        <v>7</v>
      </c>
      <c r="B23" s="39" t="s">
        <v>38</v>
      </c>
      <c r="C23" s="42">
        <v>7</v>
      </c>
      <c r="D23" s="46">
        <f>'Peněžní deník 2025'!U68/1000</f>
        <v>0</v>
      </c>
      <c r="E23" s="47">
        <v>0</v>
      </c>
      <c r="F23" s="46">
        <f t="shared" si="0"/>
        <v>0</v>
      </c>
    </row>
    <row r="24" spans="1:11" ht="15.75" customHeight="1" x14ac:dyDescent="0.2">
      <c r="A24" s="39">
        <v>8</v>
      </c>
      <c r="B24" s="39" t="s">
        <v>70</v>
      </c>
      <c r="C24" s="42">
        <v>8</v>
      </c>
      <c r="D24" s="46">
        <f>'Peněžní deník 2025'!V68/1000</f>
        <v>0</v>
      </c>
      <c r="E24" s="47">
        <v>0</v>
      </c>
      <c r="F24" s="46">
        <f t="shared" si="0"/>
        <v>0</v>
      </c>
    </row>
    <row r="25" spans="1:11" ht="15.75" customHeight="1" x14ac:dyDescent="0.2">
      <c r="A25" s="39">
        <v>9</v>
      </c>
      <c r="B25" s="39" t="s">
        <v>86</v>
      </c>
      <c r="C25" s="42">
        <v>9</v>
      </c>
      <c r="D25" s="46">
        <f>'Peněžní deník 2025'!W74/1000</f>
        <v>0</v>
      </c>
      <c r="E25" s="47">
        <v>0</v>
      </c>
      <c r="F25" s="46">
        <f t="shared" si="0"/>
        <v>0</v>
      </c>
    </row>
    <row r="26" spans="1:11" ht="15.75" customHeight="1" x14ac:dyDescent="0.25">
      <c r="A26" s="54">
        <v>10</v>
      </c>
      <c r="B26" s="54" t="s">
        <v>71</v>
      </c>
      <c r="C26" s="55">
        <v>10</v>
      </c>
      <c r="D26" s="59">
        <f>SUM(D17:D25)</f>
        <v>0</v>
      </c>
      <c r="E26" s="59"/>
      <c r="F26" s="59">
        <f t="shared" si="0"/>
        <v>0</v>
      </c>
    </row>
    <row r="27" spans="1:11" ht="15.75" customHeight="1" x14ac:dyDescent="0.25">
      <c r="A27" s="34" t="s">
        <v>104</v>
      </c>
      <c r="B27" s="349" t="s">
        <v>48</v>
      </c>
      <c r="C27" s="350"/>
      <c r="D27" s="350"/>
      <c r="E27" s="350"/>
      <c r="F27" s="351"/>
    </row>
    <row r="28" spans="1:11" ht="15.75" customHeight="1" x14ac:dyDescent="0.2">
      <c r="A28" s="39">
        <v>1</v>
      </c>
      <c r="B28" s="39" t="s">
        <v>87</v>
      </c>
      <c r="C28" s="42">
        <v>11</v>
      </c>
      <c r="D28" s="47">
        <f>'Peněžní deník 2025'!Y68/1000</f>
        <v>0</v>
      </c>
      <c r="E28" s="47"/>
      <c r="F28" s="46">
        <f t="shared" ref="F28:F39" si="1">D28+E28</f>
        <v>0</v>
      </c>
      <c r="K28" s="66" t="s">
        <v>113</v>
      </c>
    </row>
    <row r="29" spans="1:11" ht="15.75" customHeight="1" x14ac:dyDescent="0.2">
      <c r="A29" s="39">
        <v>2</v>
      </c>
      <c r="B29" s="39" t="s">
        <v>53</v>
      </c>
      <c r="C29" s="42">
        <v>12</v>
      </c>
      <c r="D29" s="47">
        <f>'Peněžní deník 2025'!Z68/1000</f>
        <v>0</v>
      </c>
      <c r="E29" s="47"/>
      <c r="F29" s="46">
        <f t="shared" si="1"/>
        <v>0</v>
      </c>
    </row>
    <row r="30" spans="1:11" ht="15.75" customHeight="1" x14ac:dyDescent="0.2">
      <c r="A30" s="39">
        <v>3</v>
      </c>
      <c r="B30" s="39" t="s">
        <v>89</v>
      </c>
      <c r="C30" s="42">
        <v>13</v>
      </c>
      <c r="D30" s="47">
        <f>'Peněžní deník 2025'!AA68/1000</f>
        <v>0</v>
      </c>
      <c r="E30" s="47"/>
      <c r="F30" s="46">
        <f t="shared" si="1"/>
        <v>0</v>
      </c>
    </row>
    <row r="31" spans="1:11" ht="15.75" customHeight="1" x14ac:dyDescent="0.2">
      <c r="A31" s="39">
        <v>4</v>
      </c>
      <c r="B31" s="39" t="s">
        <v>60</v>
      </c>
      <c r="C31" s="42">
        <v>14</v>
      </c>
      <c r="D31" s="47">
        <f>'Peněžní deník 2025'!AB68/1000</f>
        <v>0</v>
      </c>
      <c r="E31" s="47"/>
      <c r="F31" s="46">
        <f t="shared" si="1"/>
        <v>0</v>
      </c>
    </row>
    <row r="32" spans="1:11" ht="15.75" customHeight="1" x14ac:dyDescent="0.2">
      <c r="A32" s="39">
        <v>5</v>
      </c>
      <c r="B32" s="39" t="s">
        <v>90</v>
      </c>
      <c r="C32" s="42">
        <v>15</v>
      </c>
      <c r="D32" s="47">
        <f>'Peněžní deník 2025'!AC68/1000</f>
        <v>0</v>
      </c>
      <c r="E32" s="47"/>
      <c r="F32" s="46">
        <f t="shared" si="1"/>
        <v>0</v>
      </c>
    </row>
    <row r="33" spans="1:6" ht="15.75" customHeight="1" x14ac:dyDescent="0.2">
      <c r="A33" s="39">
        <v>6</v>
      </c>
      <c r="B33" s="39" t="s">
        <v>91</v>
      </c>
      <c r="C33" s="42">
        <v>16</v>
      </c>
      <c r="D33" s="47">
        <f>'Peněžní deník 2025'!AD68/1000</f>
        <v>0</v>
      </c>
      <c r="E33" s="47"/>
      <c r="F33" s="46">
        <f t="shared" si="1"/>
        <v>0</v>
      </c>
    </row>
    <row r="34" spans="1:6" ht="15.75" customHeight="1" x14ac:dyDescent="0.2">
      <c r="A34" s="39">
        <v>7</v>
      </c>
      <c r="B34" s="39" t="s">
        <v>92</v>
      </c>
      <c r="C34" s="42">
        <v>17</v>
      </c>
      <c r="D34" s="47">
        <f>'Peněžní deník 2025'!AE68/1000</f>
        <v>0</v>
      </c>
      <c r="E34" s="47"/>
      <c r="F34" s="46">
        <f t="shared" si="1"/>
        <v>0</v>
      </c>
    </row>
    <row r="35" spans="1:6" ht="15.75" customHeight="1" x14ac:dyDescent="0.2">
      <c r="A35" s="39">
        <v>8</v>
      </c>
      <c r="B35" s="39" t="s">
        <v>38</v>
      </c>
      <c r="C35" s="42">
        <v>18</v>
      </c>
      <c r="D35" s="47">
        <f>'Peněžní deník 2025'!AF68/1000</f>
        <v>0</v>
      </c>
      <c r="E35" s="46"/>
      <c r="F35" s="46">
        <f t="shared" si="1"/>
        <v>0</v>
      </c>
    </row>
    <row r="36" spans="1:6" ht="15.75" customHeight="1" x14ac:dyDescent="0.2">
      <c r="A36" s="39">
        <v>9</v>
      </c>
      <c r="B36" s="39" t="s">
        <v>70</v>
      </c>
      <c r="C36" s="42">
        <v>19</v>
      </c>
      <c r="D36" s="47">
        <f>'Peněžní deník 2025'!AG68/1000</f>
        <v>0</v>
      </c>
      <c r="E36" s="47"/>
      <c r="F36" s="46">
        <f t="shared" si="1"/>
        <v>0</v>
      </c>
    </row>
    <row r="37" spans="1:6" ht="15.75" customHeight="1" x14ac:dyDescent="0.2">
      <c r="A37" s="39">
        <v>10</v>
      </c>
      <c r="B37" s="39" t="s">
        <v>86</v>
      </c>
      <c r="C37" s="42">
        <v>20</v>
      </c>
      <c r="D37" s="47">
        <f>'Peněžní deník 2025'!AH68/1000</f>
        <v>0</v>
      </c>
      <c r="E37" s="47"/>
      <c r="F37" s="46">
        <f t="shared" si="1"/>
        <v>0</v>
      </c>
    </row>
    <row r="38" spans="1:6" ht="15.75" customHeight="1" x14ac:dyDescent="0.25">
      <c r="A38" s="54">
        <v>11</v>
      </c>
      <c r="B38" s="54" t="s">
        <v>72</v>
      </c>
      <c r="C38" s="55">
        <v>21</v>
      </c>
      <c r="D38" s="59">
        <f t="shared" ref="D38:E38" si="2">SUM(D28:D37)</f>
        <v>0</v>
      </c>
      <c r="E38" s="59">
        <f t="shared" si="2"/>
        <v>0</v>
      </c>
      <c r="F38" s="59">
        <f t="shared" si="1"/>
        <v>0</v>
      </c>
    </row>
    <row r="39" spans="1:6" ht="15.75" customHeight="1" x14ac:dyDescent="0.25">
      <c r="A39" s="34">
        <v>99</v>
      </c>
      <c r="B39" s="34" t="s">
        <v>118</v>
      </c>
      <c r="C39" s="97">
        <v>22</v>
      </c>
      <c r="D39" s="102">
        <f t="shared" ref="D39:E39" si="3">D26-D38</f>
        <v>0</v>
      </c>
      <c r="E39" s="102">
        <f t="shared" si="3"/>
        <v>0</v>
      </c>
      <c r="F39" s="102">
        <f t="shared" si="1"/>
        <v>0</v>
      </c>
    </row>
    <row r="40" spans="1:6" ht="15.75" customHeight="1" x14ac:dyDescent="0.2">
      <c r="A40" s="6"/>
      <c r="B40" s="6"/>
      <c r="C40" s="6"/>
      <c r="D40" s="6"/>
      <c r="E40" s="6"/>
      <c r="F40" s="6"/>
    </row>
    <row r="41" spans="1:6" ht="15.75" customHeight="1" x14ac:dyDescent="0.2">
      <c r="A41" s="6" t="s">
        <v>116</v>
      </c>
      <c r="B41" s="6"/>
      <c r="C41" s="6"/>
      <c r="D41" s="6" t="s">
        <v>117</v>
      </c>
      <c r="E41" s="6"/>
      <c r="F41" s="6"/>
    </row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9">
    <mergeCell ref="B16:F16"/>
    <mergeCell ref="B27:F27"/>
    <mergeCell ref="A3:B3"/>
    <mergeCell ref="B6:B7"/>
    <mergeCell ref="E6:F7"/>
    <mergeCell ref="D9:E9"/>
    <mergeCell ref="A14:B15"/>
    <mergeCell ref="C14:C15"/>
    <mergeCell ref="D14:F14"/>
  </mergeCells>
  <conditionalFormatting sqref="D17:F25">
    <cfRule type="cellIs" dxfId="3" priority="1" operator="equal">
      <formula>0</formula>
    </cfRule>
  </conditionalFormatting>
  <conditionalFormatting sqref="D28:F37">
    <cfRule type="cellIs" dxfId="2" priority="2" operator="equal">
      <formula>0</formula>
    </cfRule>
  </conditionalFormatting>
  <conditionalFormatting sqref="E17:E26">
    <cfRule type="cellIs" dxfId="1" priority="3" operator="equal">
      <formula>0</formula>
    </cfRule>
  </conditionalFormatting>
  <conditionalFormatting sqref="E28:E39">
    <cfRule type="cellIs" dxfId="0" priority="4" operator="equal">
      <formula>0</formula>
    </cfRule>
  </conditionalFormatting>
  <pageMargins left="0.7" right="0.7" top="0.78740157499999996" bottom="0.78740157499999996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  <pageSetUpPr fitToPage="1"/>
  </sheetPr>
  <dimension ref="A1:F1000"/>
  <sheetViews>
    <sheetView workbookViewId="0">
      <selection activeCell="H7" sqref="H7"/>
    </sheetView>
  </sheetViews>
  <sheetFormatPr defaultColWidth="12.5703125" defaultRowHeight="15" customHeight="1" x14ac:dyDescent="0.2"/>
  <cols>
    <col min="1" max="1" width="7.28515625" customWidth="1"/>
    <col min="2" max="2" width="31.5703125" customWidth="1"/>
    <col min="3" max="3" width="14.28515625" customWidth="1"/>
    <col min="4" max="4" width="16.42578125" customWidth="1"/>
    <col min="5" max="6" width="14.28515625" customWidth="1"/>
    <col min="7" max="26" width="11.140625" customWidth="1"/>
  </cols>
  <sheetData>
    <row r="1" spans="1:6" ht="15.75" customHeight="1" x14ac:dyDescent="0.2">
      <c r="A1" s="4" t="s">
        <v>2</v>
      </c>
      <c r="B1" s="2"/>
      <c r="C1" s="2"/>
      <c r="D1" s="2"/>
      <c r="E1" s="2"/>
      <c r="F1" s="2"/>
    </row>
    <row r="2" spans="1:6" ht="15.75" customHeight="1" x14ac:dyDescent="0.2">
      <c r="A2" s="2"/>
      <c r="B2" s="2"/>
      <c r="C2" s="2"/>
      <c r="D2" s="2"/>
      <c r="E2" s="2"/>
      <c r="F2" s="2"/>
    </row>
    <row r="3" spans="1:6" ht="15.75" customHeight="1" x14ac:dyDescent="0.2">
      <c r="A3" s="366" t="s">
        <v>3</v>
      </c>
      <c r="B3" s="353"/>
      <c r="C3" s="2"/>
      <c r="D3" s="11" t="s">
        <v>5</v>
      </c>
      <c r="E3" s="12">
        <v>45349</v>
      </c>
      <c r="F3" s="2"/>
    </row>
    <row r="4" spans="1:6" ht="15.75" customHeight="1" x14ac:dyDescent="0.2">
      <c r="A4" s="2" t="s">
        <v>7</v>
      </c>
      <c r="B4" s="2"/>
      <c r="C4" s="2"/>
      <c r="D4" s="11" t="s">
        <v>8</v>
      </c>
      <c r="E4" s="2" t="s">
        <v>9</v>
      </c>
      <c r="F4" s="2"/>
    </row>
    <row r="5" spans="1:6" ht="15.75" customHeight="1" x14ac:dyDescent="0.2">
      <c r="A5" s="2"/>
      <c r="B5" s="17"/>
      <c r="C5" s="17"/>
      <c r="D5" s="11" t="s">
        <v>10</v>
      </c>
      <c r="E5" s="2" t="s">
        <v>18</v>
      </c>
      <c r="F5" s="2"/>
    </row>
    <row r="6" spans="1:6" ht="15.75" customHeight="1" x14ac:dyDescent="0.2">
      <c r="A6" s="19" t="s">
        <v>13</v>
      </c>
      <c r="B6" s="367" t="s">
        <v>14</v>
      </c>
      <c r="C6" s="17"/>
      <c r="D6" s="19" t="s">
        <v>15</v>
      </c>
      <c r="E6" s="368" t="s">
        <v>22</v>
      </c>
      <c r="F6" s="353"/>
    </row>
    <row r="7" spans="1:6" ht="28.5" customHeight="1" x14ac:dyDescent="0.2">
      <c r="A7" s="20"/>
      <c r="B7" s="353"/>
      <c r="C7" s="17"/>
      <c r="D7" s="17"/>
      <c r="E7" s="353"/>
      <c r="F7" s="353"/>
    </row>
    <row r="8" spans="1:6" ht="15.75" customHeight="1" x14ac:dyDescent="0.2">
      <c r="A8" s="11" t="s">
        <v>17</v>
      </c>
      <c r="B8" s="24">
        <v>21194297</v>
      </c>
      <c r="C8" s="2"/>
      <c r="D8" s="4" t="s">
        <v>19</v>
      </c>
      <c r="E8" s="2"/>
      <c r="F8" s="2"/>
    </row>
    <row r="9" spans="1:6" ht="15.75" customHeight="1" x14ac:dyDescent="0.2">
      <c r="A9" s="24"/>
      <c r="B9" s="2"/>
      <c r="C9" s="2"/>
      <c r="D9" s="369"/>
      <c r="E9" s="353"/>
      <c r="F9" s="2"/>
    </row>
    <row r="10" spans="1:6" ht="15.75" customHeight="1" x14ac:dyDescent="0.2">
      <c r="A10" s="11" t="s">
        <v>21</v>
      </c>
      <c r="B10" s="2"/>
      <c r="C10" s="2"/>
      <c r="D10" s="4"/>
      <c r="E10" s="2"/>
      <c r="F10" s="2"/>
    </row>
    <row r="11" spans="1:6" ht="15.75" customHeight="1" x14ac:dyDescent="0.2">
      <c r="A11" s="24"/>
      <c r="B11" s="2"/>
      <c r="C11" s="2"/>
      <c r="D11" s="4" t="s">
        <v>24</v>
      </c>
      <c r="E11" s="2"/>
      <c r="F11" s="2"/>
    </row>
    <row r="12" spans="1:6" ht="15.75" customHeight="1" x14ac:dyDescent="0.2">
      <c r="A12" s="11"/>
      <c r="B12" s="2"/>
      <c r="C12" s="2" t="s">
        <v>25</v>
      </c>
      <c r="D12" s="4"/>
      <c r="E12" s="2"/>
      <c r="F12" s="2"/>
    </row>
    <row r="13" spans="1:6" ht="15.75" customHeight="1" x14ac:dyDescent="0.2">
      <c r="A13" s="2"/>
      <c r="B13" s="2"/>
      <c r="C13" s="2"/>
      <c r="D13" s="2"/>
      <c r="E13" s="2"/>
      <c r="F13" s="2"/>
    </row>
    <row r="14" spans="1:6" ht="15.75" customHeight="1" x14ac:dyDescent="0.2">
      <c r="A14" s="370"/>
      <c r="B14" s="358"/>
      <c r="C14" s="371" t="s">
        <v>32</v>
      </c>
      <c r="D14" s="372"/>
      <c r="E14" s="373" t="s">
        <v>36</v>
      </c>
      <c r="F14" s="365"/>
    </row>
    <row r="15" spans="1:6" ht="15.75" customHeight="1" x14ac:dyDescent="0.2">
      <c r="A15" s="36">
        <v>1</v>
      </c>
      <c r="B15" s="38" t="s">
        <v>44</v>
      </c>
      <c r="C15" s="374"/>
      <c r="D15" s="372"/>
      <c r="E15" s="375"/>
      <c r="F15" s="365"/>
    </row>
    <row r="16" spans="1:6" ht="15.75" customHeight="1" x14ac:dyDescent="0.2">
      <c r="A16" s="36">
        <v>2</v>
      </c>
      <c r="B16" s="38" t="s">
        <v>49</v>
      </c>
      <c r="C16" s="374"/>
      <c r="D16" s="372"/>
      <c r="E16" s="375"/>
      <c r="F16" s="365"/>
    </row>
    <row r="17" spans="1:6" ht="15.75" customHeight="1" x14ac:dyDescent="0.2">
      <c r="A17" s="36">
        <v>3</v>
      </c>
      <c r="B17" s="38" t="s">
        <v>54</v>
      </c>
      <c r="C17" s="374"/>
      <c r="D17" s="372"/>
      <c r="E17" s="375"/>
      <c r="F17" s="365"/>
    </row>
    <row r="18" spans="1:6" ht="15.75" customHeight="1" x14ac:dyDescent="0.2">
      <c r="A18" s="36">
        <v>4</v>
      </c>
      <c r="B18" s="38" t="s">
        <v>62</v>
      </c>
      <c r="C18" s="374">
        <f>'Peněžní deník 2025'!M87/1000</f>
        <v>3.04</v>
      </c>
      <c r="D18" s="372"/>
      <c r="E18" s="375">
        <v>10</v>
      </c>
      <c r="F18" s="372"/>
    </row>
    <row r="19" spans="1:6" ht="15.75" customHeight="1" x14ac:dyDescent="0.2">
      <c r="A19" s="36">
        <v>5</v>
      </c>
      <c r="B19" s="38" t="s">
        <v>74</v>
      </c>
      <c r="C19" s="374">
        <f>'Peněžní deník 2025'!M88/1000</f>
        <v>-3.04</v>
      </c>
      <c r="D19" s="372"/>
      <c r="E19" s="375">
        <v>29</v>
      </c>
      <c r="F19" s="372"/>
    </row>
    <row r="20" spans="1:6" ht="15.75" customHeight="1" x14ac:dyDescent="0.2">
      <c r="A20" s="36">
        <v>6</v>
      </c>
      <c r="B20" s="38" t="s">
        <v>79</v>
      </c>
      <c r="C20" s="374"/>
      <c r="D20" s="372"/>
      <c r="E20" s="375"/>
      <c r="F20" s="365"/>
    </row>
    <row r="21" spans="1:6" ht="15.75" customHeight="1" x14ac:dyDescent="0.2">
      <c r="A21" s="36">
        <v>7</v>
      </c>
      <c r="B21" s="38" t="s">
        <v>80</v>
      </c>
      <c r="C21" s="374"/>
      <c r="D21" s="372"/>
      <c r="E21" s="375"/>
      <c r="F21" s="365"/>
    </row>
    <row r="22" spans="1:6" ht="15.75" customHeight="1" x14ac:dyDescent="0.2">
      <c r="A22" s="36">
        <v>8</v>
      </c>
      <c r="B22" s="38" t="s">
        <v>81</v>
      </c>
      <c r="C22" s="374"/>
      <c r="D22" s="372"/>
      <c r="E22" s="375"/>
      <c r="F22" s="365"/>
    </row>
    <row r="23" spans="1:6" ht="15.75" customHeight="1" x14ac:dyDescent="0.2">
      <c r="A23" s="36">
        <v>9</v>
      </c>
      <c r="B23" s="38" t="s">
        <v>83</v>
      </c>
      <c r="C23" s="374"/>
      <c r="D23" s="372"/>
      <c r="E23" s="375"/>
      <c r="F23" s="365"/>
    </row>
    <row r="24" spans="1:6" ht="15.75" customHeight="1" x14ac:dyDescent="0.2">
      <c r="A24" s="50">
        <v>10</v>
      </c>
      <c r="B24" s="51" t="s">
        <v>88</v>
      </c>
      <c r="C24" s="377">
        <f>SUM(C15:C23)</f>
        <v>0</v>
      </c>
      <c r="D24" s="378"/>
      <c r="E24" s="380">
        <f>SUM(E15:E23)</f>
        <v>39</v>
      </c>
      <c r="F24" s="381"/>
    </row>
    <row r="25" spans="1:6" ht="15.75" customHeight="1" x14ac:dyDescent="0.2">
      <c r="A25" s="58">
        <v>1</v>
      </c>
      <c r="B25" s="60" t="s">
        <v>102</v>
      </c>
      <c r="C25" s="376"/>
      <c r="D25" s="347"/>
      <c r="E25" s="382"/>
      <c r="F25" s="383"/>
    </row>
    <row r="26" spans="1:6" ht="15.75" customHeight="1" x14ac:dyDescent="0.2">
      <c r="A26" s="36">
        <v>2</v>
      </c>
      <c r="B26" s="62" t="s">
        <v>112</v>
      </c>
      <c r="C26" s="374"/>
      <c r="D26" s="372"/>
      <c r="E26" s="375"/>
      <c r="F26" s="365"/>
    </row>
    <row r="27" spans="1:6" ht="15.75" customHeight="1" x14ac:dyDescent="0.2">
      <c r="A27" s="50">
        <v>3</v>
      </c>
      <c r="B27" s="67" t="s">
        <v>114</v>
      </c>
      <c r="C27" s="377">
        <f>SUM(C25:C26)</f>
        <v>0</v>
      </c>
      <c r="D27" s="378"/>
      <c r="E27" s="380">
        <f>SUM(E25:E26)</f>
        <v>0</v>
      </c>
      <c r="F27" s="381"/>
    </row>
    <row r="28" spans="1:6" ht="15.75" customHeight="1" x14ac:dyDescent="0.2">
      <c r="A28" s="75">
        <v>99</v>
      </c>
      <c r="B28" s="78" t="s">
        <v>115</v>
      </c>
      <c r="C28" s="379">
        <f>C24-C27</f>
        <v>0</v>
      </c>
      <c r="D28" s="365"/>
      <c r="E28" s="379">
        <f>E24-E27</f>
        <v>39</v>
      </c>
      <c r="F28" s="365"/>
    </row>
    <row r="29" spans="1:6" ht="15.75" customHeight="1" x14ac:dyDescent="0.2">
      <c r="A29" s="2"/>
      <c r="B29" s="2"/>
      <c r="C29" s="2"/>
      <c r="D29" s="2"/>
      <c r="E29" s="2"/>
      <c r="F29" s="2"/>
    </row>
    <row r="30" spans="1:6" ht="15.75" customHeight="1" x14ac:dyDescent="0.2">
      <c r="A30" s="2" t="s">
        <v>116</v>
      </c>
      <c r="B30" s="2"/>
      <c r="C30" s="2"/>
      <c r="D30" s="2" t="s">
        <v>117</v>
      </c>
      <c r="E30" s="2"/>
      <c r="F30" s="2"/>
    </row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5">
    <mergeCell ref="E25:F25"/>
    <mergeCell ref="E20:F20"/>
    <mergeCell ref="E21:F21"/>
    <mergeCell ref="E22:F22"/>
    <mergeCell ref="E23:F23"/>
    <mergeCell ref="E24:F24"/>
    <mergeCell ref="E18:F18"/>
    <mergeCell ref="C25:D25"/>
    <mergeCell ref="C26:D26"/>
    <mergeCell ref="C27:D27"/>
    <mergeCell ref="C28:D28"/>
    <mergeCell ref="C18:D18"/>
    <mergeCell ref="C19:D19"/>
    <mergeCell ref="C20:D20"/>
    <mergeCell ref="C21:D21"/>
    <mergeCell ref="C22:D22"/>
    <mergeCell ref="C23:D23"/>
    <mergeCell ref="C24:D24"/>
    <mergeCell ref="E26:F26"/>
    <mergeCell ref="E27:F27"/>
    <mergeCell ref="E28:F28"/>
    <mergeCell ref="E19:F19"/>
    <mergeCell ref="C15:D15"/>
    <mergeCell ref="E15:F15"/>
    <mergeCell ref="C16:D16"/>
    <mergeCell ref="E16:F16"/>
    <mergeCell ref="C17:D17"/>
    <mergeCell ref="E17:F17"/>
    <mergeCell ref="A3:B3"/>
    <mergeCell ref="B6:B7"/>
    <mergeCell ref="E6:F7"/>
    <mergeCell ref="D9:E9"/>
    <mergeCell ref="A14:B14"/>
    <mergeCell ref="C14:D14"/>
    <mergeCell ref="E14:F14"/>
  </mergeCells>
  <pageMargins left="0.7" right="0.7" top="0.78740157499999996" bottom="0.78740157499999996" header="0" footer="0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A1:C1000"/>
  <sheetViews>
    <sheetView workbookViewId="0">
      <selection activeCell="G15" sqref="G15"/>
    </sheetView>
  </sheetViews>
  <sheetFormatPr defaultColWidth="12.5703125" defaultRowHeight="15" customHeight="1" x14ac:dyDescent="0.2"/>
  <cols>
    <col min="1" max="1" width="110.85546875" customWidth="1"/>
    <col min="2" max="2" width="38.85546875" customWidth="1"/>
    <col min="3" max="3" width="6.42578125" hidden="1" customWidth="1"/>
    <col min="4" max="26" width="7.5703125" customWidth="1"/>
  </cols>
  <sheetData>
    <row r="1" spans="1:3" ht="12.75" customHeight="1" x14ac:dyDescent="0.2">
      <c r="A1" s="3" t="s">
        <v>1</v>
      </c>
      <c r="B1" s="7" t="s">
        <v>4</v>
      </c>
      <c r="C1" s="384" t="s">
        <v>6</v>
      </c>
    </row>
    <row r="2" spans="1:3" ht="12.75" customHeight="1" x14ac:dyDescent="0.2">
      <c r="A2" s="14" t="s">
        <v>12</v>
      </c>
      <c r="B2" s="16"/>
      <c r="C2" s="385"/>
    </row>
    <row r="3" spans="1:3" ht="12.75" customHeight="1" x14ac:dyDescent="0.2">
      <c r="A3" s="21" t="s">
        <v>20</v>
      </c>
      <c r="B3" s="23" t="s">
        <v>23</v>
      </c>
      <c r="C3" s="25" t="s">
        <v>26</v>
      </c>
    </row>
    <row r="4" spans="1:3" ht="12.75" customHeight="1" x14ac:dyDescent="0.2">
      <c r="A4" s="26" t="s">
        <v>27</v>
      </c>
      <c r="B4" s="27" t="s">
        <v>23</v>
      </c>
      <c r="C4" s="28" t="s">
        <v>26</v>
      </c>
    </row>
    <row r="5" spans="1:3" ht="12.75" customHeight="1" x14ac:dyDescent="0.2">
      <c r="A5" s="29" t="s">
        <v>30</v>
      </c>
      <c r="B5" s="30" t="s">
        <v>31</v>
      </c>
      <c r="C5" s="32" t="s">
        <v>34</v>
      </c>
    </row>
    <row r="6" spans="1:3" ht="12.75" customHeight="1" x14ac:dyDescent="0.2">
      <c r="A6" s="29" t="s">
        <v>37</v>
      </c>
      <c r="B6" s="30" t="s">
        <v>38</v>
      </c>
      <c r="C6" s="32" t="s">
        <v>39</v>
      </c>
    </row>
    <row r="7" spans="1:3" ht="12.75" customHeight="1" x14ac:dyDescent="0.2">
      <c r="A7" s="35" t="s">
        <v>42</v>
      </c>
      <c r="B7" s="37" t="s">
        <v>43</v>
      </c>
      <c r="C7" s="40" t="s">
        <v>45</v>
      </c>
    </row>
    <row r="8" spans="1:3" ht="12.75" customHeight="1" x14ac:dyDescent="0.2">
      <c r="A8" s="41"/>
      <c r="B8" s="43"/>
      <c r="C8" s="44"/>
    </row>
    <row r="9" spans="1:3" ht="12.75" customHeight="1" x14ac:dyDescent="0.2">
      <c r="A9" s="14" t="s">
        <v>48</v>
      </c>
      <c r="B9" s="16"/>
      <c r="C9" s="45"/>
    </row>
    <row r="10" spans="1:3" ht="12.75" customHeight="1" x14ac:dyDescent="0.2">
      <c r="A10" s="26" t="s">
        <v>51</v>
      </c>
      <c r="B10" s="27" t="s">
        <v>53</v>
      </c>
      <c r="C10" s="28" t="s">
        <v>55</v>
      </c>
    </row>
    <row r="11" spans="1:3" ht="12.75" customHeight="1" x14ac:dyDescent="0.2">
      <c r="A11" s="29" t="s">
        <v>56</v>
      </c>
      <c r="B11" s="30" t="s">
        <v>53</v>
      </c>
      <c r="C11" s="32" t="s">
        <v>55</v>
      </c>
    </row>
    <row r="12" spans="1:3" ht="12.75" customHeight="1" x14ac:dyDescent="0.2">
      <c r="A12" s="29" t="s">
        <v>59</v>
      </c>
      <c r="B12" s="30" t="s">
        <v>60</v>
      </c>
      <c r="C12" s="32" t="s">
        <v>61</v>
      </c>
    </row>
    <row r="13" spans="1:3" ht="12.75" customHeight="1" x14ac:dyDescent="0.2">
      <c r="A13" s="29" t="s">
        <v>64</v>
      </c>
      <c r="B13" s="30" t="s">
        <v>60</v>
      </c>
      <c r="C13" s="32" t="s">
        <v>61</v>
      </c>
    </row>
    <row r="14" spans="1:3" ht="12.75" customHeight="1" x14ac:dyDescent="0.2">
      <c r="A14" s="29" t="s">
        <v>65</v>
      </c>
      <c r="B14" s="30" t="s">
        <v>60</v>
      </c>
      <c r="C14" s="32" t="s">
        <v>61</v>
      </c>
    </row>
    <row r="15" spans="1:3" ht="12.75" customHeight="1" x14ac:dyDescent="0.2">
      <c r="A15" s="35" t="s">
        <v>67</v>
      </c>
      <c r="B15" s="37" t="s">
        <v>38</v>
      </c>
      <c r="C15" s="40" t="s">
        <v>68</v>
      </c>
    </row>
    <row r="16" spans="1:3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C1:C2"/>
  </mergeCells>
  <pageMargins left="0.7" right="0.7" top="0.78740157499999996" bottom="0.78740157499999996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Peněžní deník 2025</vt:lpstr>
      <vt:lpstr>Přehled o P a V 2025</vt:lpstr>
      <vt:lpstr>Přehled o M a Z 2025</vt:lpstr>
      <vt:lpstr>Manuál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Zdeněk Včelařík</dc:creator>
  <cp:lastModifiedBy>Zdeněk Včelařík</cp:lastModifiedBy>
  <dcterms:created xsi:type="dcterms:W3CDTF">2025-08-08T07:12:34Z</dcterms:created>
  <dcterms:modified xsi:type="dcterms:W3CDTF">2026-10-31T13:26:15Z</dcterms:modified>
</cp:coreProperties>
</file>